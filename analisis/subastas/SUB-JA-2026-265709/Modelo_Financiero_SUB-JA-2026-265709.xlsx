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7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Subasta" sheetId="2" state="visible" r:id="rId4"/>
    <sheet name="Supuestos" sheetId="3" state="visible" r:id="rId5"/>
    <sheet name="Comparables" sheetId="4" state="visible" r:id="rId6"/>
    <sheet name="Compraventa" sheetId="5" state="visible" r:id="rId7"/>
    <sheet name="Alquiler" sheetId="6" state="visible" r:id="rId8"/>
    <sheet name="Puja máxima" sheetId="7" state="visible" r:id="rId9"/>
    <sheet name="Sensibilidad" sheetId="8" state="visible" r:id="rId10"/>
    <sheet name="Escenarios" sheetId="9" state="visible" r:id="rId11"/>
    <sheet name="Riesgos" sheetId="10" state="visible" r:id="rId12"/>
    <sheet name="Fuentes" sheetId="11" state="visible" r:id="rId13"/>
  </sheets>
  <definedNames>
    <definedName function="false" hidden="false" name="Abogado" vbProcedure="false">Supuestos!$F$46</definedName>
    <definedName function="false" hidden="false" name="AlqControl" vbProcedure="false">Alquiler!$C$18</definedName>
    <definedName function="false" hidden="false" name="AlqInversion" vbProcedure="false">Alquiler!$C$7</definedName>
    <definedName function="false" hidden="false" name="AlqNOI" vbProcedure="false">Alquiler!$C$10</definedName>
    <definedName function="false" hidden="false" name="AlqRentBruta" vbProcedure="false">Alquiler!$C$11</definedName>
    <definedName function="false" hidden="false" name="AlqRentNeta" vbProcedure="false">Alquiler!$C$12</definedName>
    <definedName function="false" hidden="false" name="AlqTIR" vbProcedure="false">Alquiler!$C$14</definedName>
    <definedName function="false" hidden="false" name="AlqVAN" vbProcedure="false">Alquiler!$C$15</definedName>
    <definedName function="false" hidden="false" name="AnosIBI" vbProcedure="false">Supuestos!$F$49</definedName>
    <definedName function="false" hidden="false" name="BaseImponible" vbProcedure="false">Supuestos!$F$40</definedName>
    <definedName function="false" hidden="false" name="CantidadReclamada" vbProcedure="false">Supuestos!$F$32</definedName>
    <definedName function="false" hidden="false" name="CargasAnteriores" vbProcedure="false">Subasta!$C$36</definedName>
    <definedName function="false" hidden="false" name="ComisionVenta" vbProcedure="false">Supuestos!$F$76</definedName>
    <definedName function="false" hidden="false" name="CostePosesion" vbProcedure="false">Supuestos!$F$18</definedName>
    <definedName function="false" hidden="false" name="CostesFijosAdq" vbProcedure="false">Supuestos!$F$52</definedName>
    <definedName function="false" hidden="false" name="CosteTenenciaAlq" vbProcedure="false">Supuestos!$F$70</definedName>
    <definedName function="false" hidden="false" name="CosteTenenciaFlip" vbProcedure="false">Supuestos!$F$68</definedName>
    <definedName function="false" hidden="false" name="CrecRenta" vbProcedure="false">Supuestos!$F$88</definedName>
    <definedName function="false" hidden="false" name="CuotaComunidad" vbProcedure="false">Supuestos!$F$19</definedName>
    <definedName function="false" hidden="false" name="Deposito" vbProcedure="false">Supuestos!$F$27</definedName>
    <definedName function="false" hidden="false" name="DepositoPct" vbProcedure="false">Supuestos!$F$26</definedName>
    <definedName function="false" hidden="false" name="DescuentoNeg" vbProcedure="false">Supuestos!$F$74</definedName>
    <definedName function="false" hidden="false" name="Desocupacion" vbProcedure="false">Supuestos!$F$85</definedName>
    <definedName function="false" hidden="false" name="DeudaComunidad" vbProcedure="false">Supuestos!$F$47</definedName>
    <definedName function="false" hidden="false" name="DeudaIBI" vbProcedure="false">Supuestos!$F$50</definedName>
    <definedName function="false" hidden="false" name="EscBAI_B" vbProcedure="false">Escenarios!$D$25</definedName>
    <definedName function="false" hidden="false" name="EscBAI_O" vbProcedure="false">Escenarios!$E$25</definedName>
    <definedName function="false" hidden="false" name="EscBAI_P" vbProcedure="false">Escenarios!$C$25</definedName>
    <definedName function="false" hidden="false" name="Escenario" vbProcedure="false">Supuestos!$F$7</definedName>
    <definedName function="false" hidden="false" name="EscPM_B" vbProcedure="false">Escenarios!$D$29</definedName>
    <definedName function="false" hidden="false" name="EscPM_O" vbProcedure="false">Escenarios!$E$29</definedName>
    <definedName function="false" hidden="false" name="EscPM_P" vbProcedure="false">Escenarios!$C$29</definedName>
    <definedName function="false" hidden="false" name="EscRN_B" vbProcedure="false">Escenarios!$D$34</definedName>
    <definedName function="false" hidden="false" name="EscRN_O" vbProcedure="false">Escenarios!$E$34</definedName>
    <definedName function="false" hidden="false" name="EscRN_P" vbProcedure="false">Escenarios!$C$34</definedName>
    <definedName function="false" hidden="false" name="EscROI_B" vbProcedure="false">Escenarios!$D$27</definedName>
    <definedName function="false" hidden="false" name="EscROI_O" vbProcedure="false">Escenarios!$E$27</definedName>
    <definedName function="false" hidden="false" name="EscROI_P" vbProcedure="false">Escenarios!$C$27</definedName>
    <definedName function="false" hidden="false" name="Estrategia" vbProcedure="false">Supuestos!$F$9</definedName>
    <definedName function="false" hidden="false" name="FechaCierre" vbProcedure="false">Supuestos!$F$55</definedName>
    <definedName function="false" hidden="false" name="FlipBAI" vbProcedure="false">Compraventa!$C$13</definedName>
    <definedName function="false" hidden="false" name="FlipControl" vbProcedure="false">Compraventa!$C$23</definedName>
    <definedName function="false" hidden="false" name="FlipInversion" vbProcedure="false">Compraventa!$C$11</definedName>
    <definedName function="false" hidden="false" name="FlipNeto" vbProcedure="false">Compraventa!$C$15</definedName>
    <definedName function="false" hidden="false" name="FlipROI" vbProcedure="false">Compraventa!$C$16</definedName>
    <definedName function="false" hidden="false" name="FlipROINeto" vbProcedure="false">Compraventa!$C$17</definedName>
    <definedName function="false" hidden="false" name="FlipTIR" vbProcedure="false">Compraventa!$C$20</definedName>
    <definedName function="false" hidden="false" name="FlipTIRNeta" vbProcedure="false">Compraventa!$C$21</definedName>
    <definedName function="false" hidden="false" name="FlipVentaNeta" vbProcedure="false">Compraventa!$C$12</definedName>
    <definedName function="false" hidden="false" name="GastoMensual" vbProcedure="false">Supuestos!$F$66</definedName>
    <definedName function="false" hidden="false" name="GestionPct" vbProcedure="false">Supuestos!$F$86</definedName>
    <definedName function="false" hidden="false" name="Gestoria" vbProcedure="false">Supuestos!$F$45</definedName>
    <definedName function="false" hidden="false" name="IBIAnual" vbProcedure="false">Supuestos!$F$48</definedName>
    <definedName function="false" hidden="false" name="ImpactoIVA" vbProcedure="false">Escenarios!$E$39</definedName>
    <definedName function="false" hidden="false" name="ImpuestoAdq" vbProcedure="false">Supuestos!$F$41</definedName>
    <definedName function="false" hidden="false" name="InflGastos" vbProcedure="false">Supuestos!$F$89</definedName>
    <definedName function="false" hidden="false" name="IVADeducible" vbProcedure="false">Supuestos!$F$39</definedName>
    <definedName function="false" hidden="false" name="MantenimientoPct" vbProcedure="false">Supuestos!$F$87</definedName>
    <definedName function="false" hidden="false" name="MesAlquiler" vbProcedure="false">Supuestos!$F$61</definedName>
    <definedName function="false" hidden="false" name="MesDecreto" vbProcedure="false">Supuestos!$F$57</definedName>
    <definedName function="false" hidden="false" name="MesesDeuda" vbProcedure="false">Supuestos!$F$20</definedName>
    <definedName function="false" hidden="false" name="MesesPuestaAlquiler" vbProcedure="false">Supuestos!$F$60</definedName>
    <definedName function="false" hidden="false" name="MesesTenenciaAlq" vbProcedure="false">Supuestos!$F$69</definedName>
    <definedName function="false" hidden="false" name="MesesTenenciaFlip" vbProcedure="false">Supuestos!$F$67</definedName>
    <definedName function="false" hidden="false" name="MesesVenta" vbProcedure="false">Supuestos!$F$21</definedName>
    <definedName function="false" hidden="false" name="MesPago" vbProcedure="false">Supuestos!$F$56</definedName>
    <definedName function="false" hidden="false" name="MesPosesion" vbProcedure="false">Supuestos!$F$17</definedName>
    <definedName function="false" hidden="false" name="MesVenta" vbProcedure="false">Supuestos!$F$59</definedName>
    <definedName function="false" hidden="false" name="NOIInicial" vbProcedure="false">Supuestos!$F$93</definedName>
    <definedName function="false" hidden="false" name="NombreEscenario" vbProcedure="false">Supuestos!$F$8</definedName>
    <definedName function="false" hidden="false" name="NombreEstrategia" vbProcedure="false">Supuestos!$F$10</definedName>
    <definedName function="false" hidden="false" name="PctAprobacion" vbProcedure="false">Supuestos!$F$28</definedName>
    <definedName function="false" hidden="false" name="PctMinimo" vbProcedure="false">Supuestos!$F$30</definedName>
    <definedName function="false" hidden="false" name="Plusvalia" vbProcedure="false">Supuestos!$F$77</definedName>
    <definedName function="false" hidden="false" name="PlusvaliaSalida" vbProcedure="false">Supuestos!$F$91</definedName>
    <definedName function="false" hidden="false" name="PrecioCierre" vbProcedure="false">Supuestos!$F$75</definedName>
    <definedName function="false" hidden="false" name="PrecioVenta" vbProcedure="false">Supuestos!$F$15</definedName>
    <definedName function="false" hidden="false" name="Puja" vbProcedure="false">Supuestos!$F$14</definedName>
    <definedName function="false" hidden="false" name="PujaEquilibrio" vbProcedure="false">'Puja máxima'!$C$16</definedName>
    <definedName function="false" hidden="false" name="PujaMaxAlq" vbProcedure="false">'Puja máxima'!$D$13</definedName>
    <definedName function="false" hidden="false" name="PujaMaxFlip" vbProcedure="false">'Puja máxima'!$C$13</definedName>
    <definedName function="false" hidden="false" name="PujaMaxSel" vbProcedure="false">'Puja máxima'!$C$18</definedName>
    <definedName function="false" hidden="false" name="PujaMinPrudente" vbProcedure="false">'Puja máxima'!$C$19</definedName>
    <definedName function="false" hidden="false" name="Regimen" vbProcedure="false">Supuestos!$F$22</definedName>
    <definedName function="false" hidden="false" name="Registro" vbProcedure="false">Supuestos!$F$44</definedName>
    <definedName function="false" hidden="false" name="Renta" vbProcedure="false">Supuestos!$F$16</definedName>
    <definedName function="false" hidden="false" name="RentabObjetivo" vbProcedure="false">Supuestos!$F$97</definedName>
    <definedName function="false" hidden="false" name="RentaInclIVA" vbProcedure="false">Supuestos!$F$83</definedName>
    <definedName function="false" hidden="false" name="RentaNeta" vbProcedure="false">Supuestos!$F$84</definedName>
    <definedName function="false" hidden="false" name="Revalorizacion" vbProcedure="false">Supuestos!$F$90</definedName>
    <definedName function="false" hidden="false" name="ROIObjetivo" vbProcedure="false">Supuestos!$F$96</definedName>
    <definedName function="false" hidden="false" name="SeguroAnual" vbProcedure="false">Supuestos!$F$65</definedName>
    <definedName function="false" hidden="false" name="SupConstruida" vbProcedure="false">Subasta!$C$26</definedName>
    <definedName function="false" hidden="false" name="SupUtil" vbProcedure="false">Subasta!$C$27</definedName>
    <definedName function="false" hidden="false" name="Tasacion" vbProcedure="false">Subasta!$C$35</definedName>
    <definedName function="false" hidden="false" name="TasaDescuento" vbProcedure="false">Supuestos!$F$92</definedName>
    <definedName function="false" hidden="false" name="TipoGanancia" vbProcedure="false">Supuestos!$F$79</definedName>
    <definedName function="false" hidden="false" name="TipoITP" vbProcedure="false">Supuestos!$F$36</definedName>
    <definedName function="false" hidden="false" name="TipoIVA" vbProcedure="false">Supuestos!$F$38</definedName>
    <definedName function="false" hidden="false" name="UmbralCincuenta" vbProcedure="false">Supuestos!$F$31</definedName>
    <definedName function="false" hidden="false" name="UmbralSetenta" vbProcedure="false">Supuestos!$F$29</definedName>
    <definedName function="false" hidden="false" name="ValorReferencia" vbProcedure="false">Supuestos!$F$37</definedName>
    <definedName function="false" hidden="false" name="ValorSubasta" vbProcedure="false">Supuestos!$F$25</definedName>
    <definedName function="false" hidden="false" name="VentaNeta" vbProcedure="false">Supuestos!$F$78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<sst xmlns="http://schemas.openxmlformats.org/spreadsheetml/2006/main" count="1096" uniqueCount="796">
  <si>
    <t xml:space="preserve">Modelo financiero — Subasta SUB-JA-2026-265709</t>
  </si>
  <si>
    <t xml:space="preserve">Plaza de aparcamiento para moto nº 10 · C/ Virtud 38 – C/ Constancia 71 · López de Gomara (Triana), Sevilla</t>
  </si>
  <si>
    <t xml:space="preserve">Escenario activo:</t>
  </si>
  <si>
    <t xml:space="preserve">Estrategia principal:</t>
  </si>
  <si>
    <t xml:space="preserve">Cambiar en Supuestos (F7 y F9)</t>
  </si>
  <si>
    <t xml:space="preserve">La subasta</t>
  </si>
  <si>
    <t xml:space="preserve">Precio de compra (escenario activo)</t>
  </si>
  <si>
    <t xml:space="preserve">Valor de subasta (= tasación)</t>
  </si>
  <si>
    <t xml:space="preserve">Puja (precio de remate)</t>
  </si>
  <si>
    <t xml:space="preserve">Depósito para pujar (5%)</t>
  </si>
  <si>
    <t xml:space="preserve">Puja / valor de subasta</t>
  </si>
  <si>
    <t xml:space="preserve">70% del valor (aprobación directa)</t>
  </si>
  <si>
    <t xml:space="preserve">Impuesto de adquisición</t>
  </si>
  <si>
    <t xml:space="preserve">50% del valor</t>
  </si>
  <si>
    <t xml:space="preserve">Costes fijos (registro, gestoría, deudas, posesión)</t>
  </si>
  <si>
    <t xml:space="preserve">Cantidad reclamada por la Comunidad</t>
  </si>
  <si>
    <t xml:space="preserve">Inversión total — compraventa</t>
  </si>
  <si>
    <t xml:space="preserve">Cargas anteriores que asume el comprador</t>
  </si>
  <si>
    <t xml:space="preserve">Inversión total — alquiler</t>
  </si>
  <si>
    <t xml:space="preserve">Superficie construida / útil (m²)</t>
  </si>
  <si>
    <t xml:space="preserve">Sobrecoste si tributa por IVA en vez de ITP</t>
  </si>
  <si>
    <t xml:space="preserve">Fecha de cierre (estimada, verificar)</t>
  </si>
  <si>
    <t xml:space="preserve">Régimen art. 670 LEC de la puja</t>
  </si>
  <si>
    <t xml:space="preserve">Estrategia 1 — Compraventa</t>
  </si>
  <si>
    <t xml:space="preserve">Estrategia 2 — Alquiler</t>
  </si>
  <si>
    <t xml:space="preserve">Precio de cierre esperado</t>
  </si>
  <si>
    <t xml:space="preserve">Renta de mercado (€/mes)</t>
  </si>
  <si>
    <t xml:space="preserve">Ingreso neto por la venta</t>
  </si>
  <si>
    <t xml:space="preserve">Renta neta de IVA (€/mes)</t>
  </si>
  <si>
    <t xml:space="preserve">Beneficio antes de impuestos</t>
  </si>
  <si>
    <t xml:space="preserve">NOI año 1</t>
  </si>
  <si>
    <t xml:space="preserve">Beneficio neto</t>
  </si>
  <si>
    <t xml:space="preserve">Rentabilidad bruta</t>
  </si>
  <si>
    <t xml:space="preserve">ROI antes de impuestos</t>
  </si>
  <si>
    <t xml:space="preserve">Rentabilidad neta</t>
  </si>
  <si>
    <t xml:space="preserve">TIR anual antes de impuestos</t>
  </si>
  <si>
    <t xml:space="preserve">TIR a 10 años (con venta)</t>
  </si>
  <si>
    <t xml:space="preserve">Plazo (meses)</t>
  </si>
  <si>
    <t xml:space="preserve">VAN a la tasa de descuento</t>
  </si>
  <si>
    <t xml:space="preserve">Puja máxima</t>
  </si>
  <si>
    <t xml:space="preserve">Escenarios (beneficio y ROI de la compraventa)</t>
  </si>
  <si>
    <t xml:space="preserve">Puja mínima prudente (70% del valor)</t>
  </si>
  <si>
    <t xml:space="preserve">Pesimista — beneficio / ROI</t>
  </si>
  <si>
    <t xml:space="preserve">Puja máxima — compraventa (ROI objetivo)</t>
  </si>
  <si>
    <t xml:space="preserve">Puja máxima — alquiler (rentabilidad objetivo)</t>
  </si>
  <si>
    <t xml:space="preserve">Base — beneficio / ROI</t>
  </si>
  <si>
    <t xml:space="preserve">Puja de equilibrio — compraventa (beneficio 0)</t>
  </si>
  <si>
    <t xml:space="preserve">Puja máxima recomendada (estrategia principal)</t>
  </si>
  <si>
    <t xml:space="preserve">Optimista — beneficio / ROI</t>
  </si>
  <si>
    <t xml:space="preserve">Veredicto sobre la puja del escenario activo</t>
  </si>
  <si>
    <t xml:space="preserve">Rango de puja recomendado:</t>
  </si>
  <si>
    <t xml:space="preserve">a</t>
  </si>
  <si>
    <t xml:space="preserve">Controles del modelo:</t>
  </si>
  <si>
    <t xml:space="preserve">Alertas clave</t>
  </si>
  <si>
    <t xml:space="preserve">1. La plaza solo admite una moto (3,75 m² útiles): limita la demanda de reventa y de alquiler.</t>
  </si>
  <si>
    <t xml:space="preserve">2. Hay que pujar al menos el 70% del valor (4.954,92 €); por debajo, la Comunidad ejecutante, a la que se deben 10.083,73 €, puede adjudicársela.</t>
  </si>
  <si>
    <t xml:space="preserve">3. Riesgo fiscal: si la adjudicación es una 'primera entrega' del promotor, tributa por IVA 21% en lugar de ITP 7%.</t>
  </si>
  <si>
    <t xml:space="preserve">4. Las cuotas de comunidad impagadas (año en curso y 3 anteriores) y el IBI pendiente pasan al comprador: pedir certificados antes de pujar.</t>
  </si>
  <si>
    <t xml:space="preserve">5. Pendiente de la ficha del Portal: fecha exacta de cierre, tramos entre pujas, pujas actuales y subastas relacionadas.</t>
  </si>
  <si>
    <t xml:space="preserve">Cifras en euros. Celdas verdes = vínculos a otras hojas; los supuestos se editan en la hoja Supuestos.</t>
  </si>
  <si>
    <t xml:space="preserve">Datos de la subasta y del bien</t>
  </si>
  <si>
    <t xml:space="preserve">Extraídos de los documentos del expediente (edicto, certificación registral, decreto y diligencia de valoración).</t>
  </si>
  <si>
    <t xml:space="preserve">Campo</t>
  </si>
  <si>
    <t xml:space="preserve">Dato</t>
  </si>
  <si>
    <t xml:space="preserve">Fuente</t>
  </si>
  <si>
    <t xml:space="preserve">Estado</t>
  </si>
  <si>
    <t xml:space="preserve">Identificación de la subasta</t>
  </si>
  <si>
    <t xml:space="preserve">Identificador</t>
  </si>
  <si>
    <t xml:space="preserve">SUB-JA-2026-265709</t>
  </si>
  <si>
    <t xml:space="preserve">Portal de Subastas del BOE</t>
  </si>
  <si>
    <t xml:space="preserve">Verificado</t>
  </si>
  <si>
    <t xml:space="preserve">Tipo de subasta</t>
  </si>
  <si>
    <t xml:space="preserve">Judicial — vía de apremio (ejecución de títulos judiciales)</t>
  </si>
  <si>
    <t xml:space="preserve">Doc. 1 — Edicto</t>
  </si>
  <si>
    <t xml:space="preserve">Órgano gestor</t>
  </si>
  <si>
    <t xml:space="preserve">Juzgado de Primera Instancia nº 4 de Sevilla · C/ Vermondo Resta s/n, 41018</t>
  </si>
  <si>
    <t xml:space="preserve">Doc. 1</t>
  </si>
  <si>
    <t xml:space="preserve">Procedimiento</t>
  </si>
  <si>
    <t xml:space="preserve">Ejecución de títulos judiciales 1455/2022 · Negociado 2E · NIG 4109142120190033606</t>
  </si>
  <si>
    <t xml:space="preserve">Ejecutante</t>
  </si>
  <si>
    <t xml:space="preserve">Comunidad de Propietarios Calle Virtud 44</t>
  </si>
  <si>
    <t xml:space="preserve">Ejecutado (titular registral)</t>
  </si>
  <si>
    <t xml:space="preserve">SUPERCHINDO, S.L. (CIF B92548411)</t>
  </si>
  <si>
    <t xml:space="preserve">Docs. 1 y 2</t>
  </si>
  <si>
    <t xml:space="preserve">Fecha del edicto</t>
  </si>
  <si>
    <t xml:space="preserve">Fecha de cierre de la subasta</t>
  </si>
  <si>
    <t xml:space="preserve">No figura en los PDF · estimada</t>
  </si>
  <si>
    <t xml:space="preserve">PENDIENTE</t>
  </si>
  <si>
    <t xml:space="preserve">Lotes</t>
  </si>
  <si>
    <t xml:space="preserve">Lote único</t>
  </si>
  <si>
    <t xml:space="preserve">Cantidades reclamadas</t>
  </si>
  <si>
    <t xml:space="preserve">Principal reclamado (edicto)</t>
  </si>
  <si>
    <t xml:space="preserve">Doc. 1 — Edicto (16/06/2025)</t>
  </si>
  <si>
    <t xml:space="preserve">Intereses y costas presupuestados</t>
  </si>
  <si>
    <t xml:space="preserve">Total reclamado</t>
  </si>
  <si>
    <t xml:space="preserve">Cálculo</t>
  </si>
  <si>
    <t xml:space="preserve">Embargo anotado (letra A, 30/12/2022)</t>
  </si>
  <si>
    <t xml:space="preserve">6.476,23 € de principal + 4.150,93 € de intereses y costas</t>
  </si>
  <si>
    <t xml:space="preserve">Doc. 2 — Certificación registral</t>
  </si>
  <si>
    <t xml:space="preserve">Mandamiento de certificación (15/03/2023)</t>
  </si>
  <si>
    <t xml:space="preserve">13.836,42 € de principal + 4.150,93 € de intereses y costas</t>
  </si>
  <si>
    <t xml:space="preserve">Doc. 2</t>
  </si>
  <si>
    <t xml:space="preserve">Descripción del bien</t>
  </si>
  <si>
    <t xml:space="preserve">Tipo de bien</t>
  </si>
  <si>
    <t xml:space="preserve">Plaza de aparcamiento nº 10 en planta sótano (apta para moto)</t>
  </si>
  <si>
    <t xml:space="preserve">Docs. 1, 2, 4 y 5</t>
  </si>
  <si>
    <t xml:space="preserve">Dirección</t>
  </si>
  <si>
    <t xml:space="preserve">C/ Virtud 38 y C/ Constancia 71 (acceso por C/ Constancia), Sevilla</t>
  </si>
  <si>
    <t xml:space="preserve">Barrio / código postal</t>
  </si>
  <si>
    <t xml:space="preserve">López de Gomara (Triana) · 41010</t>
  </si>
  <si>
    <t xml:space="preserve">Idealista / RealAdvisor</t>
  </si>
  <si>
    <t xml:space="preserve">Fuente externa</t>
  </si>
  <si>
    <t xml:space="preserve">Superficie construida (m²)</t>
  </si>
  <si>
    <t xml:space="preserve">Superficie útil (m²)</t>
  </si>
  <si>
    <t xml:space="preserve">Doc. 2 (el edicto solo cita la construida)</t>
  </si>
  <si>
    <t xml:space="preserve">Linderos</t>
  </si>
  <si>
    <t xml:space="preserve">Frente: zona de maniobra · Izquierda: trastero nº 17 · Fondo: casa nº 69 de C/ Constancia · Derecha: zona de maniobra</t>
  </si>
  <si>
    <t xml:space="preserve">Cuota de participación en la comunidad</t>
  </si>
  <si>
    <t xml:space="preserve">Finca registral</t>
  </si>
  <si>
    <t xml:space="preserve">Nº 37.841 de Sevilla · Registro de la Propiedad nº 2 · Tomo 1.844, Libro 1.175, Folio 181</t>
  </si>
  <si>
    <t xml:space="preserve">IDUFIR</t>
  </si>
  <si>
    <t xml:space="preserve">41028000513716</t>
  </si>
  <si>
    <t xml:space="preserve">Título del ejecutado</t>
  </si>
  <si>
    <t xml:space="preserve">División horizontal, escritura de 12/06/2018 (protocolo 1503); inscripción 1ª de 16/11/2018</t>
  </si>
  <si>
    <t xml:space="preserve">Referencia catastral</t>
  </si>
  <si>
    <t xml:space="preserve">No consta en los documentos</t>
  </si>
  <si>
    <t xml:space="preserve">Sede Electrónica del Catastro</t>
  </si>
  <si>
    <t xml:space="preserve">Valoración y condiciones económicas</t>
  </si>
  <si>
    <t xml:space="preserve">Valoración pericial definitiva</t>
  </si>
  <si>
    <t xml:space="preserve">Doc. 4 — Decreto 19/03/2025 (sin alegaciones)</t>
  </si>
  <si>
    <t xml:space="preserve">Cargas anteriores deducidas</t>
  </si>
  <si>
    <t xml:space="preserve">Doc. 5 — Diligencia 19/03/2025</t>
  </si>
  <si>
    <t xml:space="preserve">Valor de subasta</t>
  </si>
  <si>
    <t xml:space="preserve">Doc. 5 — Diligencia 19/03/2025 · Doc. 1</t>
  </si>
  <si>
    <t xml:space="preserve">Valor de subasta por m² construido</t>
  </si>
  <si>
    <t xml:space="preserve">Art. 669.1 LEC</t>
  </si>
  <si>
    <t xml:space="preserve">Calculado</t>
  </si>
  <si>
    <t xml:space="preserve">70% del valor de subasta</t>
  </si>
  <si>
    <t xml:space="preserve">Art. 670 LEC</t>
  </si>
  <si>
    <t xml:space="preserve">50% del valor de subasta</t>
  </si>
  <si>
    <t xml:space="preserve">Art. 670.4 LEC</t>
  </si>
  <si>
    <t xml:space="preserve">Puja mínima</t>
  </si>
  <si>
    <t xml:space="preserve">Sin puja mínima (rige el art. 670 LEC)</t>
  </si>
  <si>
    <t xml:space="preserve">Doc. 1, condición particular 3ª</t>
  </si>
  <si>
    <t xml:space="preserve">Tramos entre pujas</t>
  </si>
  <si>
    <t xml:space="preserve">Consultar en la ficha del Portal</t>
  </si>
  <si>
    <t xml:space="preserve">Portal de Subastas</t>
  </si>
  <si>
    <t xml:space="preserve">Pago del resto del precio</t>
  </si>
  <si>
    <t xml:space="preserve">40 días desde la aprobación del remate</t>
  </si>
  <si>
    <t xml:space="preserve">Art. 670.1 LEC</t>
  </si>
  <si>
    <t xml:space="preserve">Reserva de postura / cesión de remate</t>
  </si>
  <si>
    <t xml:space="preserve">Reserva permitida (art. 652 LEC); solo el ejecutante puede ceder el remate (art. 647.3 LEC)</t>
  </si>
  <si>
    <t xml:space="preserve">Situación jurídica</t>
  </si>
  <si>
    <t xml:space="preserve">Cargas registrales</t>
  </si>
  <si>
    <t xml:space="preserve">(1) Notas de afección fiscal · (2) Embargo letra A a favor de la Comunidad ejecutante (se cancela con la adjudicación) · (3) Prórroga letra B por 4 años desde 24/03/2023</t>
  </si>
  <si>
    <t xml:space="preserve">Titulares de derechos posteriores</t>
  </si>
  <si>
    <t xml:space="preserve">Ninguno (no proceden comunicaciones del art. 659 LEC)</t>
  </si>
  <si>
    <t xml:space="preserve">Fecha de la certificación de cargas</t>
  </si>
  <si>
    <t xml:space="preserve">Actualizar</t>
  </si>
  <si>
    <t xml:space="preserve">Situación posesoria</t>
  </si>
  <si>
    <t xml:space="preserve">No consta (condición general 4ª del edicto)</t>
  </si>
  <si>
    <t xml:space="preserve">Visitas</t>
  </si>
  <si>
    <t xml:space="preserve">Se puede pedir al Juzgado la inspección del bien durante la licitación (art. 669.3 LEC)</t>
  </si>
  <si>
    <t xml:space="preserve">Otros bienes del procedimiento</t>
  </si>
  <si>
    <t xml:space="preserve">El edicto menciona un local comercial "vacío y sin actividad" (posible subasta relacionada)</t>
  </si>
  <si>
    <t xml:space="preserve">Revisar</t>
  </si>
  <si>
    <t xml:space="preserve">Documentos analizados</t>
  </si>
  <si>
    <t xml:space="preserve">Documento 1</t>
  </si>
  <si>
    <t xml:space="preserve">Edicto de subasta del JPI nº 4 de Sevilla, 16/06/2025 (6 págs.)</t>
  </si>
  <si>
    <t xml:space="preserve">Aportado</t>
  </si>
  <si>
    <t xml:space="preserve">Analizado</t>
  </si>
  <si>
    <t xml:space="preserve">Documento 2</t>
  </si>
  <si>
    <t xml:space="preserve">Mandamiento (15/03/2023) y certificación de dominio y cargas del Registro nº 2 de Sevilla (24/03/2023) (10 págs.)</t>
  </si>
  <si>
    <t xml:space="preserve">Documento 3</t>
  </si>
  <si>
    <t xml:space="preserve">No aportado</t>
  </si>
  <si>
    <t xml:space="preserve">—</t>
  </si>
  <si>
    <t xml:space="preserve">Falta</t>
  </si>
  <si>
    <t xml:space="preserve">Documento 4</t>
  </si>
  <si>
    <t xml:space="preserve">Decreto de valoración definitiva, 19/03/2025 (3 págs.)</t>
  </si>
  <si>
    <t xml:space="preserve">Documento 5</t>
  </si>
  <si>
    <t xml:space="preserve">Diligencia de ordenación: valoración a efectos de subasta, 19/03/2025 (2 págs.)</t>
  </si>
  <si>
    <t xml:space="preserve">Supuestos del modelo — Subasta SUB-JA-2026-265709</t>
  </si>
  <si>
    <t xml:space="preserve">Plaza de aparcamiento (moto) nº 10 · C/ Virtud 38 – C/ Constancia 71 · López de Gomara (Triana), Sevilla</t>
  </si>
  <si>
    <t xml:space="preserve">Leyenda:</t>
  </si>
  <si>
    <t xml:space="preserve">Entrada</t>
  </si>
  <si>
    <t xml:space="preserve">Fórmula</t>
  </si>
  <si>
    <t xml:space="preserve">Vínculo</t>
  </si>
  <si>
    <t xml:space="preserve">Clave / verificar</t>
  </si>
  <si>
    <t xml:space="preserve">Solo se editan las celdas azules. La columna F contiene siempre el valor que usa el modelo.</t>
  </si>
  <si>
    <t xml:space="preserve">1. Selección de escenario y estrategia</t>
  </si>
  <si>
    <t xml:space="preserve">Escenario activo (1 = Pesimista · 2 = Base · 3 = Optimista)</t>
  </si>
  <si>
    <t xml:space="preserve">nº</t>
  </si>
  <si>
    <t xml:space="preserve">Cambia todas las variables de la tabla 2 a la vez.</t>
  </si>
  <si>
    <t xml:space="preserve">Nombre del escenario</t>
  </si>
  <si>
    <t xml:space="preserve">Estrategia principal (1 = Compraventa · 2 = Alquiler)</t>
  </si>
  <si>
    <t xml:space="preserve">Determina la puja máxima recomendada en el Resumen.</t>
  </si>
  <si>
    <t xml:space="preserve">Nombre de la estrategia</t>
  </si>
  <si>
    <t xml:space="preserve">2. Variables por escenario</t>
  </si>
  <si>
    <t xml:space="preserve">Variable</t>
  </si>
  <si>
    <t xml:space="preserve">Pesimista</t>
  </si>
  <si>
    <t xml:space="preserve">Base</t>
  </si>
  <si>
    <t xml:space="preserve">Optimista</t>
  </si>
  <si>
    <t xml:space="preserve">Activo</t>
  </si>
  <si>
    <t xml:space="preserve">Unidad</t>
  </si>
  <si>
    <t xml:space="preserve">Justificación / fuente</t>
  </si>
  <si>
    <t xml:space="preserve">€</t>
  </si>
  <si>
    <t xml:space="preserve">Base 77,7% del valor de subasta (&gt; umbral 70% del art. 670 LEC). Ver hoja 'Puja máxima'.</t>
  </si>
  <si>
    <t xml:space="preserve">Precio de salida a la venta</t>
  </si>
  <si>
    <t xml:space="preserve">Mediana oferta plazas de moto Triana/Remedios 11.900 €; mismo edificio 10.000 € (hoja Comparables).</t>
  </si>
  <si>
    <t xml:space="preserve">Renta mensual de mercado (lo que paga el inquilino)</t>
  </si>
  <si>
    <t xml:space="preserve">€/mes</t>
  </si>
  <si>
    <t xml:space="preserve">Comparables Triana: 40–55 €/mes; C/ Ardilla 28 (mismo barrio) 40 €/mes.</t>
  </si>
  <si>
    <t xml:space="preserve">Mes de toma de posesión (desde el cierre)</t>
  </si>
  <si>
    <t xml:space="preserve">mes</t>
  </si>
  <si>
    <t xml:space="preserve">Situación posesoria 'no consta'. Pesimista: ocupada y posesión por art. 675 LEC.</t>
  </si>
  <si>
    <t xml:space="preserve">Coste de toma de posesión</t>
  </si>
  <si>
    <t xml:space="preserve">Mando/llave del garaje; pesimista incluye abogado y procurador para el lanzamiento.</t>
  </si>
  <si>
    <t xml:space="preserve">Cuota de comunidad</t>
  </si>
  <si>
    <t xml:space="preserve">Estimación con cuota de participación 0,562%. Pedir certificado al administrador.</t>
  </si>
  <si>
    <t xml:space="preserve">Meses de cuotas impagadas a cargo del adjudicatario</t>
  </si>
  <si>
    <t xml:space="preserve">meses</t>
  </si>
  <si>
    <t xml:space="preserve">Afección real: año en curso + 3 anteriores (art. 9.1.e LPH). Máx. ≈ 46 meses a oct-2026.</t>
  </si>
  <si>
    <t xml:space="preserve">Meses de comercialización hasta la venta</t>
  </si>
  <si>
    <t xml:space="preserve">Mercado de plazas de moto estrecho; plazos de venta largos.</t>
  </si>
  <si>
    <t xml:space="preserve">Régimen fiscal de la adquisición (1 = ITP · 2 = IVA)</t>
  </si>
  <si>
    <t xml:space="preserve">El titular es una S.L. por división horizontal (2018): riesgo de 'primera entrega' con IVA 21%.</t>
  </si>
  <si>
    <t xml:space="preserve">3. Datos de la subasta (vinculados a la hoja Subasta)</t>
  </si>
  <si>
    <t xml:space="preserve">Diligencia de 19/03/2025 (cargas deducibles 0 €).</t>
  </si>
  <si>
    <t xml:space="preserve">Depósito para pujar (% del valor de subasta)</t>
  </si>
  <si>
    <t xml:space="preserve">%</t>
  </si>
  <si>
    <t xml:space="preserve">Art. 669.1 LEC.</t>
  </si>
  <si>
    <t xml:space="preserve">Depósito para pujar</t>
  </si>
  <si>
    <t xml:space="preserve">Se consigna a través del Portal de Subastas (AEAT).</t>
  </si>
  <si>
    <t xml:space="preserve">Umbral de aprobación directa (% del valor)</t>
  </si>
  <si>
    <t xml:space="preserve">Art. 670.1 LEC.</t>
  </si>
  <si>
    <t xml:space="preserve">Umbral de aprobación directa</t>
  </si>
  <si>
    <t xml:space="preserve">Puja ≥ este importe: se aprueba el remate al mejor postor.</t>
  </si>
  <si>
    <t xml:space="preserve">Umbral mínimo de referencia (% del valor)</t>
  </si>
  <si>
    <t xml:space="preserve">Art. 670.4 LEC.</t>
  </si>
  <si>
    <t xml:space="preserve">Umbral mínimo de referencia</t>
  </si>
  <si>
    <t xml:space="preserve">Por debajo, el remate queda a criterio del LAJ.</t>
  </si>
  <si>
    <t xml:space="preserve">Cantidad reclamada (principal + intereses y costas)</t>
  </si>
  <si>
    <t xml:space="preserve">Edicto de 16/06/2025.</t>
  </si>
  <si>
    <t xml:space="preserve">4. Fiscalidad de la adquisición</t>
  </si>
  <si>
    <t xml:space="preserve">Régimen aplicado</t>
  </si>
  <si>
    <t xml:space="preserve">Se elige en la tabla 2 (por escenario).</t>
  </si>
  <si>
    <t xml:space="preserve">Tipo ITP Andalucía (tipo general)</t>
  </si>
  <si>
    <t xml:space="preserve">Ley 5/2021 de Tributos Cedidos de Andalucía.</t>
  </si>
  <si>
    <t xml:space="preserve">Valor de referencia catastral (estimado)</t>
  </si>
  <si>
    <t xml:space="preserve">PENDIENTE: consultar en Sede del Catastro. Proxy = valoración pericial. Base ITP = máx(remate; valor de referencia).</t>
  </si>
  <si>
    <t xml:space="preserve">Tipo IVA (plaza de garaje no anexa a vivienda)</t>
  </si>
  <si>
    <t xml:space="preserve">Art. 90 LIVA. También grava la comisión de venta y el alquiler de la plaza.</t>
  </si>
  <si>
    <t xml:space="preserve">¿IVA soportado deducible? (1 = Sí · 0 = No)</t>
  </si>
  <si>
    <t xml:space="preserve">Sí solo si el comprador es empresario y alquila la plaza con IVA.</t>
  </si>
  <si>
    <t xml:space="preserve">Base imponible</t>
  </si>
  <si>
    <t xml:space="preserve">5. Otros costes de adquisición</t>
  </si>
  <si>
    <t xml:space="preserve">Registro de la Propiedad (inscripción + cancelación de anotaciones A y B)</t>
  </si>
  <si>
    <t xml:space="preserve">Arancel registral para un valor ≈ 7.000 €.</t>
  </si>
  <si>
    <t xml:space="preserve">Gestoría / liquidación de impuestos</t>
  </si>
  <si>
    <t xml:space="preserve">IVA incluido.</t>
  </si>
  <si>
    <t xml:space="preserve">Abogado y procurador (opcional)</t>
  </si>
  <si>
    <t xml:space="preserve">No son obligatorios para pujar como tercero.</t>
  </si>
  <si>
    <t xml:space="preserve">Deuda de comunidad a cargo del adjudicatario</t>
  </si>
  <si>
    <t xml:space="preserve">Cuota × meses impagados afectos (tabla 2).</t>
  </si>
  <si>
    <t xml:space="preserve">IBI anual estimado</t>
  </si>
  <si>
    <t xml:space="preserve">€/año</t>
  </si>
  <si>
    <t xml:space="preserve">PENDIENTE: consultar recibo en la Agencia Tributaria de Sevilla.</t>
  </si>
  <si>
    <t xml:space="preserve">Años de IBI pendientes a cargo del adjudicatario</t>
  </si>
  <si>
    <t xml:space="preserve">años</t>
  </si>
  <si>
    <t xml:space="preserve">Afección del inmueble (art. 64 TRLRHL), máximo 4 años.</t>
  </si>
  <si>
    <t xml:space="preserve">Deuda de IBI a cargo del adjudicatario</t>
  </si>
  <si>
    <t xml:space="preserve">Tabla 2.</t>
  </si>
  <si>
    <t xml:space="preserve">Total de costes fijos de adquisición</t>
  </si>
  <si>
    <t xml:space="preserve">Excluye la puja y el impuesto.</t>
  </si>
  <si>
    <t xml:space="preserve">6. Calendario (meses desde el cierre de la subasta)</t>
  </si>
  <si>
    <t xml:space="preserve">fecha</t>
  </si>
  <si>
    <t xml:space="preserve">PENDIENTE: no figura en los PDF. Estimada por la secuencia de identificadores del Portal de Subastas.</t>
  </si>
  <si>
    <t xml:space="preserve">Mes de pago del resto del precio</t>
  </si>
  <si>
    <t xml:space="preserve">Hasta 40 días desde la aprobación del remate (art. 670.1 LEC).</t>
  </si>
  <si>
    <t xml:space="preserve">Mes del decreto de adjudicación y testimonio</t>
  </si>
  <si>
    <t xml:space="preserve">Plazo habitual en los juzgados de Sevilla: 2–6 meses.</t>
  </si>
  <si>
    <t xml:space="preserve">Mes de toma de posesión</t>
  </si>
  <si>
    <t xml:space="preserve">Mes de venta (estrategia compraventa)</t>
  </si>
  <si>
    <t xml:space="preserve">Máximo modelizado: mes 23.</t>
  </si>
  <si>
    <t xml:space="preserve">Meses hasta alquilar tras la posesión</t>
  </si>
  <si>
    <t xml:space="preserve">Mes de inicio del alquiler</t>
  </si>
  <si>
    <t xml:space="preserve">7. Gastos corrientes de tenencia</t>
  </si>
  <si>
    <t xml:space="preserve">Seguro anual</t>
  </si>
  <si>
    <t xml:space="preserve">Cubierto por la póliza de la comunidad.</t>
  </si>
  <si>
    <t xml:space="preserve">Gasto mensual de tenencia</t>
  </si>
  <si>
    <t xml:space="preserve">Meses de tenencia (compraventa)</t>
  </si>
  <si>
    <t xml:space="preserve">Desde el decreto hasta la venta.</t>
  </si>
  <si>
    <t xml:space="preserve">Coste de tenencia (compraventa)</t>
  </si>
  <si>
    <t xml:space="preserve">Meses de tenencia hasta alquilar</t>
  </si>
  <si>
    <t xml:space="preserve">Coste de tenencia hasta alquilar</t>
  </si>
  <si>
    <t xml:space="preserve">8. Venta (estrategia compraventa)</t>
  </si>
  <si>
    <t xml:space="preserve">Precio de salida</t>
  </si>
  <si>
    <t xml:space="preserve">Descuento de negociación</t>
  </si>
  <si>
    <t xml:space="preserve">Los comparables son precios de oferta, no de cierre.</t>
  </si>
  <si>
    <t xml:space="preserve">Precio de cierre</t>
  </si>
  <si>
    <t xml:space="preserve">Comisión de intermediación (sobre precio, + IVA)</t>
  </si>
  <si>
    <t xml:space="preserve">Poner 0% si se vende como particular.</t>
  </si>
  <si>
    <t xml:space="preserve">Plusvalía municipal (IIVTNU) en la venta</t>
  </si>
  <si>
    <t xml:space="preserve">Valor catastral del suelo muy bajo; tenencia &lt; 1 año.</t>
  </si>
  <si>
    <t xml:space="preserve">Tipo impositivo sobre la ganancia</t>
  </si>
  <si>
    <t xml:space="preserve">IRPF base del ahorro (19% hasta 6.000 €). 25% si se compra con una S.L.</t>
  </si>
  <si>
    <t xml:space="preserve">9. Alquiler (estrategia patrimonial)</t>
  </si>
  <si>
    <t xml:space="preserve">Renta mensual de mercado</t>
  </si>
  <si>
    <t xml:space="preserve">¿La renta de mercado incluye IVA? (1 = Sí · 0 = No)</t>
  </si>
  <si>
    <t xml:space="preserve">El alquiler de una plaza de garaje independiente está sujeto y no exento de IVA (art. 20.Uno.23 LIVA).</t>
  </si>
  <si>
    <t xml:space="preserve">Renta mensual neta de IVA</t>
  </si>
  <si>
    <t xml:space="preserve">Desocupación e impagos (% de ingresos)</t>
  </si>
  <si>
    <t xml:space="preserve">≈ 1 mes al año.</t>
  </si>
  <si>
    <t xml:space="preserve">Gestión del alquiler (% de ingresos)</t>
  </si>
  <si>
    <t xml:space="preserve">Gestión propia.</t>
  </si>
  <si>
    <t xml:space="preserve">Reserva de mantenimiento (% de ingresos)</t>
  </si>
  <si>
    <t xml:space="preserve">Crecimiento anual de la renta</t>
  </si>
  <si>
    <t xml:space="preserve">Inflación anual de gastos</t>
  </si>
  <si>
    <t xml:space="preserve">Revalorización anual del activo</t>
  </si>
  <si>
    <t xml:space="preserve">Sobre el precio de salida actual.</t>
  </si>
  <si>
    <t xml:space="preserve">Plusvalía municipal en la venta final (año 10)</t>
  </si>
  <si>
    <t xml:space="preserve">Tasa de descuento (VAN)</t>
  </si>
  <si>
    <t xml:space="preserve">Coste de oportunidad del capital.</t>
  </si>
  <si>
    <t xml:space="preserve">NOI año 1 (ingresos netos − gastos)</t>
  </si>
  <si>
    <t xml:space="preserve">10. Objetivos de rentabilidad</t>
  </si>
  <si>
    <t xml:space="preserve">ROI mínimo exigido (compraventa)</t>
  </si>
  <si>
    <t xml:space="preserve">Sobre la inversión total.</t>
  </si>
  <si>
    <t xml:space="preserve">Rentabilidad neta mínima exigida (alquiler)</t>
  </si>
  <si>
    <t xml:space="preserve">NOI año 1 / inversión total.</t>
  </si>
  <si>
    <t xml:space="preserve">Comparables de mercado — plazas de moto en Sevilla</t>
  </si>
  <si>
    <t xml:space="preserve">Precios de oferta publicados en idealista, consultados el 13/10/2026. Superficie en blanco = no publicada.</t>
  </si>
  <si>
    <t xml:space="preserve">A. Venta — plazas de moto en Triana y Los Remedios</t>
  </si>
  <si>
    <t xml:space="preserve">Ref. idealista</t>
  </si>
  <si>
    <t xml:space="preserve">Ubicación</t>
  </si>
  <si>
    <t xml:space="preserve">Barrio</t>
  </si>
  <si>
    <t xml:space="preserve">Tipo / capacidad</t>
  </si>
  <si>
    <t xml:space="preserve">Sup. (m²)</t>
  </si>
  <si>
    <t xml:space="preserve">Precio (€)</t>
  </si>
  <si>
    <t xml:space="preserve">€/m²</t>
  </si>
  <si>
    <t xml:space="preserve">Observaciones</t>
  </si>
  <si>
    <t xml:space="preserve">Enlace</t>
  </si>
  <si>
    <t xml:space="preserve">112744803</t>
  </si>
  <si>
    <t xml:space="preserve">C/ Virtud 44 (acceso por C/ Constancia)</t>
  </si>
  <si>
    <t xml:space="preserve">López de Gomara (Triana)</t>
  </si>
  <si>
    <t xml:space="preserve">Moto · 1 plaza</t>
  </si>
  <si>
    <t xml:space="preserve">MISMO EDIFICIO y misma superficie registral (9,50 m² const.): puede ser esta misma finca. Particular; posesión 'a partir de noviembre'. No es un comparable independiente.</t>
  </si>
  <si>
    <t xml:space="preserve">https://www.idealista.com/inmueble/112744803/?utm_medium=generativeAI&amp;utm_campaign=appChatgpt&amp;utm_creation=link&amp;utm_source=idGpt&amp;utm_project=leadGeneration&amp;utm_link=inChat_detail</t>
  </si>
  <si>
    <t xml:space="preserve">104181518</t>
  </si>
  <si>
    <t xml:space="preserve">C/ Troya</t>
  </si>
  <si>
    <t xml:space="preserve">Triana</t>
  </si>
  <si>
    <t xml:space="preserve">Moto · 2 motos</t>
  </si>
  <si>
    <t xml:space="preserve">Se puede alquilar.</t>
  </si>
  <si>
    <t xml:space="preserve">https://www.idealista.com/inmueble/104181518/?utm_medium=generativeAI&amp;utm_campaign=appChatgpt&amp;utm_creation=link&amp;utm_source=idGpt&amp;utm_project=leadGeneration&amp;utm_link=inChat_detail</t>
  </si>
  <si>
    <t xml:space="preserve">102202705</t>
  </si>
  <si>
    <t xml:space="preserve">C/ Virgen de la Estrella 10</t>
  </si>
  <si>
    <t xml:space="preserve">Los Remedios</t>
  </si>
  <si>
    <t xml:space="preserve">Rampa, puerta automática.</t>
  </si>
  <si>
    <t xml:space="preserve">https://www.idealista.com/inmueble/102202705/?utm_medium=generativeAI&amp;utm_campaign=appChatgpt&amp;utm_creation=link&amp;utm_source=idGpt&amp;utm_project=leadGeneration&amp;utm_link=inChat_detail</t>
  </si>
  <si>
    <t xml:space="preserve">Nº de comparables</t>
  </si>
  <si>
    <t xml:space="preserve">Media</t>
  </si>
  <si>
    <t xml:space="preserve">Mediana</t>
  </si>
  <si>
    <t xml:space="preserve">Mínimo</t>
  </si>
  <si>
    <t xml:space="preserve">Máximo</t>
  </si>
  <si>
    <t xml:space="preserve">B. Venta — plazas de moto en el resto de Sevilla capital</t>
  </si>
  <si>
    <t xml:space="preserve">112644449</t>
  </si>
  <si>
    <t xml:space="preserve">C/ Francos</t>
  </si>
  <si>
    <t xml:space="preserve">Centro (Alfalfa)</t>
  </si>
  <si>
    <t xml:space="preserve">Moto · 1,83 × 2,10 m</t>
  </si>
  <si>
    <t xml:space="preserve">Planta -1, zona sin aparcamiento.</t>
  </si>
  <si>
    <t xml:space="preserve">https://www.idealista.com/inmueble/112644449/?utm_medium=generativeAI&amp;utm_campaign=appChatgpt&amp;utm_creation=link&amp;utm_source=idGpt&amp;utm_project=leadGeneration&amp;utm_link=inChat_detail</t>
  </si>
  <si>
    <t xml:space="preserve">112732191</t>
  </si>
  <si>
    <t xml:space="preserve">C/ Juan Antonio Cavestany 20</t>
  </si>
  <si>
    <t xml:space="preserve">Santa Justa</t>
  </si>
  <si>
    <t xml:space="preserve">Moto o Smart · 4,40 × 2,10 m</t>
  </si>
  <si>
    <t xml:space="preserve">https://www.idealista.com/inmueble/112732191/?utm_medium=generativeAI&amp;utm_campaign=appChatgpt&amp;utm_creation=link&amp;utm_source=idGpt&amp;utm_project=leadGeneration&amp;utm_link=inChat_detail</t>
  </si>
  <si>
    <t xml:space="preserve">111806571</t>
  </si>
  <si>
    <t xml:space="preserve">C/ Mendigorría 5</t>
  </si>
  <si>
    <t xml:space="preserve">Alameda – San Lorenzo</t>
  </si>
  <si>
    <t xml:space="preserve">Vigilancia 24 h.</t>
  </si>
  <si>
    <t xml:space="preserve">https://www.idealista.com/inmueble/111806571/?utm_medium=generativeAI&amp;utm_campaign=appChatgpt&amp;utm_creation=link&amp;utm_source=idGpt&amp;utm_project=leadGeneration&amp;utm_link=inChat_detail</t>
  </si>
  <si>
    <t xml:space="preserve">112521156</t>
  </si>
  <si>
    <t xml:space="preserve">C/ Conde Negro 15</t>
  </si>
  <si>
    <t xml:space="preserve">Puerta Carmona</t>
  </si>
  <si>
    <t xml:space="preserve">2 motos</t>
  </si>
  <si>
    <t xml:space="preserve">Alquilada a 70 €/mes.</t>
  </si>
  <si>
    <t xml:space="preserve">https://www.idealista.com/inmueble/112521156/?utm_medium=generativeAI&amp;utm_campaign=appChatgpt&amp;utm_creation=link&amp;utm_source=idGpt&amp;utm_project=leadGeneration&amp;utm_link=inChat_detail</t>
  </si>
  <si>
    <t xml:space="preserve">111834117</t>
  </si>
  <si>
    <t xml:space="preserve">Parqueflores VI Fase</t>
  </si>
  <si>
    <t xml:space="preserve">Los Carteros – San Diego</t>
  </si>
  <si>
    <t xml:space="preserve">2–3 motos · 4,50 × 2,20 m</t>
  </si>
  <si>
    <t xml:space="preserve">https://www.idealista.com/inmueble/111834117/?utm_medium=generativeAI&amp;utm_campaign=appChatgpt&amp;utm_creation=link&amp;utm_source=idGpt&amp;utm_project=leadGeneration&amp;utm_link=inChat_detail</t>
  </si>
  <si>
    <t xml:space="preserve">100622617</t>
  </si>
  <si>
    <t xml:space="preserve">C/ Marqués del Nervión 1</t>
  </si>
  <si>
    <t xml:space="preserve">Nervión</t>
  </si>
  <si>
    <t xml:space="preserve">Motos / Smart (se venden juntas)</t>
  </si>
  <si>
    <t xml:space="preserve">https://www.idealista.com/inmueble/100622617/?utm_medium=generativeAI&amp;utm_campaign=appChatgpt&amp;utm_creation=link&amp;utm_source=idGpt&amp;utm_project=leadGeneration&amp;utm_link=inChat_detail</t>
  </si>
  <si>
    <t xml:space="preserve">105263661</t>
  </si>
  <si>
    <t xml:space="preserve">C/ Almenas 55</t>
  </si>
  <si>
    <t xml:space="preserve">Bellavista</t>
  </si>
  <si>
    <t xml:space="preserve">4 motos · 14,5 m² útiles</t>
  </si>
  <si>
    <t xml:space="preserve">Alquiladas; anuncia rentabilidad del 8%.</t>
  </si>
  <si>
    <t xml:space="preserve">https://www.idealista.com/inmueble/105263661/?utm_medium=generativeAI&amp;utm_campaign=appChatgpt&amp;utm_creation=link&amp;utm_source=idGpt&amp;utm_project=leadGeneration&amp;utm_link=inChat_detail</t>
  </si>
  <si>
    <t xml:space="preserve">109368921</t>
  </si>
  <si>
    <t xml:space="preserve">C/ Marathón</t>
  </si>
  <si>
    <t xml:space="preserve">Avenida de las Ciencias</t>
  </si>
  <si>
    <t xml:space="preserve">Moto · 12 m²</t>
  </si>
  <si>
    <t xml:space="preserve">Venta directa de promotora (impuestos aparte).</t>
  </si>
  <si>
    <t xml:space="preserve">https://www.idealista.com/inmueble/109368921/?utm_medium=generativeAI&amp;utm_campaign=appChatgpt&amp;utm_creation=link&amp;utm_source=idGpt&amp;utm_project=leadGeneration&amp;utm_link=inChat_detail</t>
  </si>
  <si>
    <t xml:space="preserve">107119263</t>
  </si>
  <si>
    <t xml:space="preserve">C/ Luis Montoto 63</t>
  </si>
  <si>
    <t xml:space="preserve">Opción de 3 plazas por 24.000 €.</t>
  </si>
  <si>
    <t xml:space="preserve">https://www.idealista.com/inmueble/107119263/?utm_medium=generativeAI&amp;utm_campaign=appChatgpt&amp;utm_creation=link&amp;utm_source=idGpt&amp;utm_project=leadGeneration&amp;utm_link=inChat_detail</t>
  </si>
  <si>
    <t xml:space="preserve">112181517</t>
  </si>
  <si>
    <t xml:space="preserve">C/ Monzón 1 D</t>
  </si>
  <si>
    <t xml:space="preserve">Heliópolis</t>
  </si>
  <si>
    <t xml:space="preserve">2–3 motos</t>
  </si>
  <si>
    <t xml:space="preserve">Concesión administrativa (70 años).</t>
  </si>
  <si>
    <t xml:space="preserve">https://www.idealista.com/inmueble/112181517/?utm_medium=generativeAI&amp;utm_campaign=appChatgpt&amp;utm_creation=link&amp;utm_source=idGpt&amp;utm_project=leadGeneration&amp;utm_link=inChat_detail</t>
  </si>
  <si>
    <t xml:space="preserve">105870147</t>
  </si>
  <si>
    <t xml:space="preserve">C/ Fernández de Ribera</t>
  </si>
  <si>
    <t xml:space="preserve">Planta -3, acceso complicado.</t>
  </si>
  <si>
    <t xml:space="preserve">https://www.idealista.com/inmueble/105870147/?utm_medium=generativeAI&amp;utm_campaign=appChatgpt&amp;utm_creation=link&amp;utm_source=idGpt&amp;utm_project=leadGeneration&amp;utm_link=inChat_detail</t>
  </si>
  <si>
    <t xml:space="preserve">111785329</t>
  </si>
  <si>
    <t xml:space="preserve">C/ Hispano Aviación 2</t>
  </si>
  <si>
    <t xml:space="preserve">Tablada</t>
  </si>
  <si>
    <t xml:space="preserve">Alquilable a 30 €/mes.</t>
  </si>
  <si>
    <t xml:space="preserve">https://www.idealista.com/inmueble/111785329/?utm_medium=generativeAI&amp;utm_campaign=appChatgpt&amp;utm_creation=link&amp;utm_source=idGpt&amp;utm_project=leadGeneration&amp;utm_link=inChat_detail</t>
  </si>
  <si>
    <t xml:space="preserve">106975276</t>
  </si>
  <si>
    <t xml:space="preserve">https://www.idealista.com/inmueble/106975276/?utm_medium=generativeAI&amp;utm_campaign=appChatgpt&amp;utm_creation=link&amp;utm_source=idGpt&amp;utm_project=leadGeneration&amp;utm_link=inChat_detail</t>
  </si>
  <si>
    <t xml:space="preserve">29257022</t>
  </si>
  <si>
    <t xml:space="preserve">C/ Electricidad 5</t>
  </si>
  <si>
    <t xml:space="preserve">Santa Aurelia</t>
  </si>
  <si>
    <t xml:space="preserve">https://www.idealista.com/inmueble/29257022/?utm_medium=generativeAI&amp;utm_campaign=appChatgpt&amp;utm_creation=link&amp;utm_source=idGpt&amp;utm_project=leadGeneration&amp;utm_link=inChat_detail</t>
  </si>
  <si>
    <t xml:space="preserve">C. Alquiler — plazas de moto en Triana</t>
  </si>
  <si>
    <t xml:space="preserve">Precio (€/mes)</t>
  </si>
  <si>
    <t xml:space="preserve">€/mes/m²</t>
  </si>
  <si>
    <t xml:space="preserve">82917753</t>
  </si>
  <si>
    <t xml:space="preserve">C/ Ardilla 28</t>
  </si>
  <si>
    <t xml:space="preserve">Moto</t>
  </si>
  <si>
    <t xml:space="preserve">El comparable más cercano (mismo barrio).</t>
  </si>
  <si>
    <t xml:space="preserve">https://www.idealista.com/inmueble/82917753/?utm_medium=generativeAI&amp;utm_campaign=appChatgpt&amp;utm_creation=link&amp;utm_source=idGpt&amp;utm_project=leadGeneration&amp;utm_link=inChat_detail</t>
  </si>
  <si>
    <t xml:space="preserve">89222824</t>
  </si>
  <si>
    <t xml:space="preserve">C/ Pagés del Corro 82</t>
  </si>
  <si>
    <t xml:space="preserve">Ronda de Triana – Patrocinio</t>
  </si>
  <si>
    <t xml:space="preserve">Cámaras, puerta automática.</t>
  </si>
  <si>
    <t xml:space="preserve">https://www.idealista.com/inmueble/89222824/?utm_medium=generativeAI&amp;utm_campaign=appChatgpt&amp;utm_creation=link&amp;utm_source=idGpt&amp;utm_project=leadGeneration&amp;utm_link=inChat_detail</t>
  </si>
  <si>
    <t xml:space="preserve">96520950</t>
  </si>
  <si>
    <t xml:space="preserve">C/ Doctores Lasso Simarro</t>
  </si>
  <si>
    <t xml:space="preserve">Betis – Pagés del Corro</t>
  </si>
  <si>
    <t xml:space="preserve">Acceso por elevador.</t>
  </si>
  <si>
    <t xml:space="preserve">https://www.idealista.com/inmueble/96520950/?utm_medium=generativeAI&amp;utm_campaign=appChatgpt&amp;utm_creation=link&amp;utm_source=idGpt&amp;utm_project=leadGeneration&amp;utm_link=inChat_detail</t>
  </si>
  <si>
    <t xml:space="preserve">111286433</t>
  </si>
  <si>
    <t xml:space="preserve">C/ Alfarería 124</t>
  </si>
  <si>
    <t xml:space="preserve">Moto (parking profesional)</t>
  </si>
  <si>
    <t xml:space="preserve">24/7, taquilla y seguro incluidos.</t>
  </si>
  <si>
    <t xml:space="preserve">https://www.idealista.com/inmueble/111286433/?utm_medium=generativeAI&amp;utm_campaign=appChatgpt&amp;utm_creation=link&amp;utm_source=idGpt&amp;utm_project=leadGeneration&amp;utm_link=inChat_detail</t>
  </si>
  <si>
    <t xml:space="preserve">84436084</t>
  </si>
  <si>
    <t xml:space="preserve">C/ Castilla 83</t>
  </si>
  <si>
    <t xml:space="preserve">https://www.idealista.com/inmueble/84436084/?utm_medium=generativeAI&amp;utm_campaign=appChatgpt&amp;utm_creation=link&amp;utm_source=idGpt&amp;utm_project=leadGeneration&amp;utm_link=inChat_detail</t>
  </si>
  <si>
    <t xml:space="preserve">87211204</t>
  </si>
  <si>
    <t xml:space="preserve">Ronda de Triana 14</t>
  </si>
  <si>
    <t xml:space="preserve">Aparcamiento Crucero Baleares.</t>
  </si>
  <si>
    <t xml:space="preserve">https://www.idealista.com/inmueble/87211204/?utm_medium=generativeAI&amp;utm_campaign=appChatgpt&amp;utm_creation=link&amp;utm_source=idGpt&amp;utm_project=leadGeneration&amp;utm_link=inChat_detail</t>
  </si>
  <si>
    <t xml:space="preserve">86864183</t>
  </si>
  <si>
    <t xml:space="preserve">C/ José León Sanz 2</t>
  </si>
  <si>
    <t xml:space="preserve">Barrio León</t>
  </si>
  <si>
    <t xml:space="preserve">Moto · caben 3</t>
  </si>
  <si>
    <t xml:space="preserve">https://www.idealista.com/inmueble/86864183/?utm_medium=generativeAI&amp;utm_campaign=appChatgpt&amp;utm_creation=link&amp;utm_source=idGpt&amp;utm_project=leadGeneration&amp;utm_link=inChat_detail</t>
  </si>
  <si>
    <t xml:space="preserve">D. Alquiler — plazas de moto en Los Remedios y Tablada</t>
  </si>
  <si>
    <t xml:space="preserve">38430792</t>
  </si>
  <si>
    <t xml:space="preserve">C/ Juan Sebastián Elcano 15</t>
  </si>
  <si>
    <t xml:space="preserve">Videovigilancia.</t>
  </si>
  <si>
    <t xml:space="preserve">https://www.idealista.com/inmueble/38430792/?utm_medium=generativeAI&amp;utm_campaign=appChatgpt&amp;utm_creation=link&amp;utm_source=idGpt&amp;utm_project=leadGeneration&amp;utm_link=inChat_detail</t>
  </si>
  <si>
    <t xml:space="preserve">92276326</t>
  </si>
  <si>
    <t xml:space="preserve">C/ Virgen de las Huertas 2</t>
  </si>
  <si>
    <t xml:space="preserve">Plaza de Cuba</t>
  </si>
  <si>
    <t xml:space="preserve">Parking Resitur.</t>
  </si>
  <si>
    <t xml:space="preserve">https://www.idealista.com/inmueble/92276326/?utm_medium=generativeAI&amp;utm_campaign=appChatgpt&amp;utm_creation=link&amp;utm_source=idGpt&amp;utm_project=leadGeneration&amp;utm_link=inChat_detail</t>
  </si>
  <si>
    <t xml:space="preserve">31113331</t>
  </si>
  <si>
    <t xml:space="preserve">C/ Salado 4</t>
  </si>
  <si>
    <t xml:space="preserve">Moto pequeña/mediana</t>
  </si>
  <si>
    <t xml:space="preserve">Todo incluido.</t>
  </si>
  <si>
    <t xml:space="preserve">https://www.idealista.com/inmueble/31113331/?utm_medium=generativeAI&amp;utm_campaign=appChatgpt&amp;utm_creation=link&amp;utm_source=idGpt&amp;utm_project=leadGeneration&amp;utm_link=inChat_detail</t>
  </si>
  <si>
    <t xml:space="preserve">84484073</t>
  </si>
  <si>
    <t xml:space="preserve">Moto · 2 × 2,40 m</t>
  </si>
  <si>
    <t xml:space="preserve">https://www.idealista.com/inmueble/84484073/?utm_medium=generativeAI&amp;utm_campaign=appChatgpt&amp;utm_creation=link&amp;utm_source=idGpt&amp;utm_project=leadGeneration&amp;utm_link=inChat_detail</t>
  </si>
  <si>
    <t xml:space="preserve">85885052</t>
  </si>
  <si>
    <t xml:space="preserve">https://www.idealista.com/inmueble/85885052/?utm_medium=generativeAI&amp;utm_campaign=appChatgpt&amp;utm_creation=link&amp;utm_source=idGpt&amp;utm_project=leadGeneration&amp;utm_link=inChat_detail</t>
  </si>
  <si>
    <t xml:space="preserve">93212844</t>
  </si>
  <si>
    <t xml:space="preserve">C/ Virgen de la Estrella 6</t>
  </si>
  <si>
    <t xml:space="preserve">Comunidad incluida.</t>
  </si>
  <si>
    <t xml:space="preserve">https://www.idealista.com/inmueble/93212844/?utm_medium=generativeAI&amp;utm_campaign=appChatgpt&amp;utm_creation=link&amp;utm_source=idGpt&amp;utm_project=leadGeneration&amp;utm_link=inChat_detail</t>
  </si>
  <si>
    <t xml:space="preserve">94516135</t>
  </si>
  <si>
    <t xml:space="preserve">C/ Virgen de la Estrella 2</t>
  </si>
  <si>
    <t xml:space="preserve">https://www.idealista.com/inmueble/94516135/?utm_medium=generativeAI&amp;utm_campaign=appChatgpt&amp;utm_creation=link&amp;utm_source=idGpt&amp;utm_project=leadGeneration&amp;utm_link=inChat_detail</t>
  </si>
  <si>
    <t xml:space="preserve">103494976</t>
  </si>
  <si>
    <t xml:space="preserve">C/ Virgen del Refugio</t>
  </si>
  <si>
    <t xml:space="preserve">Parque de los Príncipes</t>
  </si>
  <si>
    <t xml:space="preserve">Moto (compartida)</t>
  </si>
  <si>
    <t xml:space="preserve">https://www.idealista.com/inmueble/103494976/?utm_medium=generativeAI&amp;utm_campaign=appChatgpt&amp;utm_creation=link&amp;utm_source=idGpt&amp;utm_project=leadGeneration&amp;utm_link=inChat_detail</t>
  </si>
  <si>
    <t xml:space="preserve">107688502</t>
  </si>
  <si>
    <t xml:space="preserve">https://www.idealista.com/inmueble/107688502/?utm_medium=generativeAI&amp;utm_campaign=appChatgpt&amp;utm_creation=link&amp;utm_source=idGpt&amp;utm_project=leadGeneration&amp;utm_link=inChat_detail</t>
  </si>
  <si>
    <t xml:space="preserve">109160656</t>
  </si>
  <si>
    <t xml:space="preserve">Incluye semana de feria.</t>
  </si>
  <si>
    <t xml:space="preserve">https://www.idealista.com/inmueble/109160656/?utm_medium=generativeAI&amp;utm_campaign=appChatgpt&amp;utm_creation=link&amp;utm_source=idGpt&amp;utm_project=leadGeneration&amp;utm_link=inChat_detail</t>
  </si>
  <si>
    <t xml:space="preserve">97438138</t>
  </si>
  <si>
    <t xml:space="preserve">https://www.idealista.com/inmueble/97438138/?utm_medium=generativeAI&amp;utm_campaign=appChatgpt&amp;utm_creation=link&amp;utm_source=idGpt&amp;utm_project=leadGeneration&amp;utm_link=inChat_detail</t>
  </si>
  <si>
    <t xml:space="preserve">111143270</t>
  </si>
  <si>
    <t xml:space="preserve">https://www.idealista.com/inmueble/111143270/?utm_medium=generativeAI&amp;utm_campaign=appChatgpt&amp;utm_creation=link&amp;utm_source=idGpt&amp;utm_project=leadGeneration&amp;utm_link=inChat_detail</t>
  </si>
  <si>
    <t xml:space="preserve">105349791</t>
  </si>
  <si>
    <t xml:space="preserve">https://www.idealista.com/inmueble/105349791/?utm_medium=generativeAI&amp;utm_campaign=appChatgpt&amp;utm_creation=link&amp;utm_source=idGpt&amp;utm_project=leadGeneration&amp;utm_link=inChat_detail</t>
  </si>
  <si>
    <t xml:space="preserve">E. Conclusión de valor</t>
  </si>
  <si>
    <t xml:space="preserve">Mediana de venta — Triana y Los Remedios</t>
  </si>
  <si>
    <t xml:space="preserve">Mediana de venta — resto de Sevilla</t>
  </si>
  <si>
    <t xml:space="preserve">Valoración pericial del Juzgado</t>
  </si>
  <si>
    <t xml:space="preserve">Precio de salida usado en el modelo (escenario activo)</t>
  </si>
  <si>
    <t xml:space="preserve">Mediana de alquiler — Triana</t>
  </si>
  <si>
    <t xml:space="preserve">Mediana de alquiler — Los Remedios y Tablada</t>
  </si>
  <si>
    <t xml:space="preserve">Renta usada en el modelo (escenario activo)</t>
  </si>
  <si>
    <t xml:space="preserve">Rentabilidad bruta implícita a precio de mercado (renta × 12 / precio de salida)</t>
  </si>
  <si>
    <t xml:space="preserve">Criterio: la plaza solo admite una moto (3,75 m² útiles), así que el precio base (10.000 €) se sitúa por debajo de la mediana de Triana/Remedios (11.900 €), que incluye plazas para dos motos, y en línea con el anuncio del mismo edificio. Referencia no comparable: plazas de coche de obra nueva en C/ Trabajo (López de Gomara) a 35.000–42.500 € + IVA.</t>
  </si>
  <si>
    <t xml:space="preserve">Estrategia 1 — Compraventa (adjudicación y reventa)</t>
  </si>
  <si>
    <t xml:space="preserve">Flujo de caja mensual desde el cierre de la subasta. Todas las cifras en euros.</t>
  </si>
  <si>
    <t xml:space="preserve">Indicadores</t>
  </si>
  <si>
    <t xml:space="preserve">Notas</t>
  </si>
  <si>
    <t xml:space="preserve">• El depósito se consigna al pujar; si no se gana la subasta se devuelve íntegro.</t>
  </si>
  <si>
    <t xml:space="preserve">Costes fijos de adquisición</t>
  </si>
  <si>
    <t xml:space="preserve">• El impuesto de adquisición se liquida tras el decreto de adjudicación (30 días hábiles).</t>
  </si>
  <si>
    <t xml:space="preserve">Coste de tenencia</t>
  </si>
  <si>
    <t xml:space="preserve">• Las deudas afectas de comunidad e IBI se pagan al tomar posesión para regularizar la plaza.</t>
  </si>
  <si>
    <t xml:space="preserve">Inversión total</t>
  </si>
  <si>
    <t xml:space="preserve">• El impuesto sobre la ganancia se imputa en el mes de venta (simplificación: se paga en la renta del año siguiente).</t>
  </si>
  <si>
    <t xml:space="preserve">• La TIR es mensual anualizada sobre los flujos de la tabla inferior.</t>
  </si>
  <si>
    <t xml:space="preserve">Impuesto sobre la ganancia</t>
  </si>
  <si>
    <t xml:space="preserve">ROI neto</t>
  </si>
  <si>
    <t xml:space="preserve">Múltiplo sobre el capital (MOIC neto)</t>
  </si>
  <si>
    <t xml:space="preserve">Plazo total (meses)</t>
  </si>
  <si>
    <t xml:space="preserve">TIR anual neta</t>
  </si>
  <si>
    <t xml:space="preserve">Exposición máxima de caja</t>
  </si>
  <si>
    <t xml:space="preserve">Control: fórmula cerrada = flujo mensual</t>
  </si>
  <si>
    <t xml:space="preserve">Control: venta dentro del horizonte modelizado (mes ≤ 23)</t>
  </si>
  <si>
    <t xml:space="preserve">Flujo de caja mensual</t>
  </si>
  <si>
    <t xml:space="preserve">Concepto</t>
  </si>
  <si>
    <t xml:space="preserve">Total</t>
  </si>
  <si>
    <t xml:space="preserve">Mes</t>
  </si>
  <si>
    <t xml:space="preserve">Fecha</t>
  </si>
  <si>
    <t xml:space="preserve">Hito</t>
  </si>
  <si>
    <t xml:space="preserve">Depósito (5% del valor de subasta)</t>
  </si>
  <si>
    <t xml:space="preserve">Resto del precio de remate</t>
  </si>
  <si>
    <t xml:space="preserve">Impuesto de adquisición (ITP / IVA)</t>
  </si>
  <si>
    <t xml:space="preserve">Registro, gestoría y abogado</t>
  </si>
  <si>
    <t xml:space="preserve">Deudas afectas (comunidad + IBI)</t>
  </si>
  <si>
    <t xml:space="preserve">Toma de posesión</t>
  </si>
  <si>
    <t xml:space="preserve">Gastos corrientes (comunidad, IBI, seguro)</t>
  </si>
  <si>
    <t xml:space="preserve">Flujo antes de impuestos</t>
  </si>
  <si>
    <t xml:space="preserve">Flujo después de impuestos</t>
  </si>
  <si>
    <t xml:space="preserve">Caja acumulada</t>
  </si>
  <si>
    <t xml:space="preserve">Estrategia 2 — Alquiler (patrimonial a 10 años)</t>
  </si>
  <si>
    <t xml:space="preserve">Año 0 = desde el cierre de la subasta hasta el inicio del alquiler. Análisis antes de impuestos.</t>
  </si>
  <si>
    <t xml:space="preserve">Renta de mercado (año 1)</t>
  </si>
  <si>
    <t xml:space="preserve">• Alquilar una plaza de garaje independiente obliga a repercutir IVA (21%): la renta de mercado se trata como IVA incluido.</t>
  </si>
  <si>
    <t xml:space="preserve">Ingresos netos (año 1)</t>
  </si>
  <si>
    <t xml:space="preserve">• Si el inversor es empresario a efectos de IVA, puede deducir el IVA soportado en la compra (ver Supuestos, sección 4).</t>
  </si>
  <si>
    <t xml:space="preserve">NOI (año 1)</t>
  </si>
  <si>
    <t xml:space="preserve">• Análisis antes de impuestos sobre la renta (IRPF / IS) y sin amortización fiscal.</t>
  </si>
  <si>
    <t xml:space="preserve">Rentabilidad bruta (renta neta de IVA / inversión)</t>
  </si>
  <si>
    <t xml:space="preserve">• El valor de salida aplica la revalorización anual al precio de salida actual y descuenta comisión y plusvalía.</t>
  </si>
  <si>
    <t xml:space="preserve">Rentabilidad neta (NOI / inversión)</t>
  </si>
  <si>
    <t xml:space="preserve">Rentabilidad bruta de anuncio (renta × 12 / puja)</t>
  </si>
  <si>
    <t xml:space="preserve">TIR a 10 años (con venta final)</t>
  </si>
  <si>
    <t xml:space="preserve">Años para recuperar la inversión (simple)</t>
  </si>
  <si>
    <t xml:space="preserve">Múltiplo sobre el capital (MOIC)</t>
  </si>
  <si>
    <t xml:space="preserve">Control: NOI año 1 = fórmula cerrada</t>
  </si>
  <si>
    <t xml:space="preserve">Proyección anual</t>
  </si>
  <si>
    <t xml:space="preserve">Año</t>
  </si>
  <si>
    <t xml:space="preserve">Inversión inicial (puja + impuestos + costes + tenencia)</t>
  </si>
  <si>
    <t xml:space="preserve">Renta de mercado (lo que paga el inquilino)</t>
  </si>
  <si>
    <t xml:space="preserve">IVA repercutido incluido en la renta</t>
  </si>
  <si>
    <t xml:space="preserve">Desocupación e impagos</t>
  </si>
  <si>
    <t xml:space="preserve">Ingresos netos</t>
  </si>
  <si>
    <t xml:space="preserve">Comunidad</t>
  </si>
  <si>
    <t xml:space="preserve">IBI</t>
  </si>
  <si>
    <t xml:space="preserve">Seguro</t>
  </si>
  <si>
    <t xml:space="preserve">Gestión</t>
  </si>
  <si>
    <t xml:space="preserve">Reserva de mantenimiento</t>
  </si>
  <si>
    <t xml:space="preserve">Resultado operativo neto (NOI)</t>
  </si>
  <si>
    <t xml:space="preserve">Venta al final del año 10 (neta de gastos)</t>
  </si>
  <si>
    <t xml:space="preserve">Flujo de caja</t>
  </si>
  <si>
    <t xml:space="preserve">Puja máxima y escalera de pujas</t>
  </si>
  <si>
    <t xml:space="preserve">Importe máximo que se puede ofrecer para alcanzar la rentabilidad objetivo, y resultado de cada nivel de puja.</t>
  </si>
  <si>
    <t xml:space="preserve">A. Puja máxima por estrategia</t>
  </si>
  <si>
    <t xml:space="preserve">Compraventa</t>
  </si>
  <si>
    <t xml:space="preserve">Alquiler</t>
  </si>
  <si>
    <t xml:space="preserve">Rentabilidad objetivo</t>
  </si>
  <si>
    <t xml:space="preserve">Cómo se calcula</t>
  </si>
  <si>
    <t xml:space="preserve">Ingreso neto por la venta / NOI año 1</t>
  </si>
  <si>
    <t xml:space="preserve">• Compraventa: inversión máxima = ingreso neto por venta / (1 + ROI objetivo).</t>
  </si>
  <si>
    <t xml:space="preserve">Inversión total máxima admisible</t>
  </si>
  <si>
    <t xml:space="preserve">• Alquiler: inversión máxima = NOI año 1 / rentabilidad neta objetivo.</t>
  </si>
  <si>
    <t xml:space="preserve">(−) Costes fijos de adquisición</t>
  </si>
  <si>
    <t xml:space="preserve">• Se restan los costes fijos y de tenencia; el resto se reparte entre puja e impuesto.</t>
  </si>
  <si>
    <t xml:space="preserve">(−) Coste de tenencia</t>
  </si>
  <si>
    <t xml:space="preserve">• Con ITP la base es el mayor entre la puja y el valor de referencia catastral.</t>
  </si>
  <si>
    <t xml:space="preserve">Disponible para puja + impuesto</t>
  </si>
  <si>
    <t xml:space="preserve">• Con IVA no deducible: puja máxima = disponible / (1 + 21%).</t>
  </si>
  <si>
    <t xml:space="preserve">Puja máxima / valor de subasta</t>
  </si>
  <si>
    <t xml:space="preserve">¿Supera el umbral del 70%?</t>
  </si>
  <si>
    <t xml:space="preserve">Puja de equilibrio (beneficio / rentabilidad 0)</t>
  </si>
  <si>
    <t xml:space="preserve">Puja mínima prudente (umbral 70%, redondeado al euro superior)</t>
  </si>
  <si>
    <t xml:space="preserve">B. Escalera de pujas</t>
  </si>
  <si>
    <t xml:space="preserve">% valor subasta</t>
  </si>
  <si>
    <t xml:space="preserve">Puja</t>
  </si>
  <si>
    <t xml:space="preserve">Régimen art. 670 LEC</t>
  </si>
  <si>
    <t xml:space="preserve">Impuesto adq.</t>
  </si>
  <si>
    <t xml:space="preserve">Inversión compraventa</t>
  </si>
  <si>
    <t xml:space="preserve">Beneficio antes imp.</t>
  </si>
  <si>
    <t xml:space="preserve">ROI compraventa</t>
  </si>
  <si>
    <t xml:space="preserve">ROI anualizado</t>
  </si>
  <si>
    <t xml:space="preserve">Rentab. neta alquiler</t>
  </si>
  <si>
    <t xml:space="preserve">¿Cumple objetivo?</t>
  </si>
  <si>
    <t xml:space="preserve">Análisis de sensibilidad</t>
  </si>
  <si>
    <t xml:space="preserve">Cada celda recalcula el resultado con fórmula cerrada; el resto de supuestos son los del escenario activo. Encabezados editables (azul).</t>
  </si>
  <si>
    <t xml:space="preserve">Caso activo — puja:</t>
  </si>
  <si>
    <t xml:space="preserve">precio de salida:</t>
  </si>
  <si>
    <t xml:space="preserve">renta:</t>
  </si>
  <si>
    <t xml:space="preserve">1. Compraventa — beneficio antes de impuestos (€): puja × precio de salida</t>
  </si>
  <si>
    <t xml:space="preserve">Puja ↓ / Precio de salida →</t>
  </si>
  <si>
    <t xml:space="preserve">2. Compraventa — ROI sobre inversión: puja × precio de salida</t>
  </si>
  <si>
    <t xml:space="preserve">3. Alquiler — rentabilidad neta (NOI / inversión): puja × renta mensual</t>
  </si>
  <si>
    <t xml:space="preserve">Puja ↓ / Renta mensual →</t>
  </si>
  <si>
    <t xml:space="preserve">Escala de color: rojo = peor, gris = umbral (0 € / 0% en compraventa; 5% en alquiler), verde = mejor.</t>
  </si>
  <si>
    <t xml:space="preserve">Escenarios — pesimista, base y optimista</t>
  </si>
  <si>
    <t xml:space="preserve">Resultados calculados en paralelo para los tres escenarios de la hoja Supuestos (tabla 2).</t>
  </si>
  <si>
    <t xml:space="preserve">Escenario activo</t>
  </si>
  <si>
    <t xml:space="preserve">VARIABLES</t>
  </si>
  <si>
    <t xml:space="preserve">Renta mensual</t>
  </si>
  <si>
    <t xml:space="preserve">Cuota de comunidad (€/mes)</t>
  </si>
  <si>
    <t xml:space="preserve">Meses de cuotas impagadas afectas</t>
  </si>
  <si>
    <t xml:space="preserve">Meses de comercialización</t>
  </si>
  <si>
    <t xml:space="preserve">Régimen fiscal (1 = ITP · 2 = IVA)</t>
  </si>
  <si>
    <t xml:space="preserve">COMPRAVENTA</t>
  </si>
  <si>
    <t xml:space="preserve">Mes de venta</t>
  </si>
  <si>
    <t xml:space="preserve">Puja máxima (ROI objetivo)</t>
  </si>
  <si>
    <t xml:space="preserve">ALQUILER</t>
  </si>
  <si>
    <t xml:space="preserve">Puja máxima (rentabilidad objetivo)</t>
  </si>
  <si>
    <t xml:space="preserve">Contraste fiscal en el escenario activo: ITP frente a IVA</t>
  </si>
  <si>
    <t xml:space="preserve">ITP 7%</t>
  </si>
  <si>
    <t xml:space="preserve">IVA 21%</t>
  </si>
  <si>
    <t xml:space="preserve">Diferencia</t>
  </si>
  <si>
    <t xml:space="preserve">Beneficio compraventa antes de impuestos</t>
  </si>
  <si>
    <t xml:space="preserve">Riesgos, due diligence y marco legal</t>
  </si>
  <si>
    <t xml:space="preserve">Riesgos identificados en los documentos del expediente y cómo los recoge el modelo.</t>
  </si>
  <si>
    <t xml:space="preserve">Riesgo</t>
  </si>
  <si>
    <t xml:space="preserve">Descripción</t>
  </si>
  <si>
    <t xml:space="preserve">Probabilidad</t>
  </si>
  <si>
    <t xml:space="preserve">Impacto</t>
  </si>
  <si>
    <t xml:space="preserve">Mitigación</t>
  </si>
  <si>
    <t xml:space="preserve">En el modelo</t>
  </si>
  <si>
    <t xml:space="preserve">Régimen fiscal: IVA en lugar de ITP</t>
  </si>
  <si>
    <t xml:space="preserve">SUPERCHINDO, S.L. es titular por división horizontal (2018). Si la plaza nunca se ha vendido, la adjudicación puede ser una 'primera entrega' sujeta a IVA 21% en lugar de ITP 7%.</t>
  </si>
  <si>
    <t xml:space="preserve">Medio</t>
  </si>
  <si>
    <t xml:space="preserve">Consultar con un asesor fiscal antes de pujar; preguntar al Juzgado si el remate se entiende con IVA incluido.</t>
  </si>
  <si>
    <t xml:space="preserve">Selector de régimen; el escenario pesimista usa IVA. Hoja Escenarios: contraste ITP/IVA.</t>
  </si>
  <si>
    <t xml:space="preserve">Puja inferior al 70% del valor</t>
  </si>
  <si>
    <t xml:space="preserve">Con una puja inferior a 4.954,92 €, el ejecutado puede presentar un tercero que mejore la puja y la Comunidad ejecutante puede adjudicarse la plaza por el 70% o por lo que se le debe (10.083,73 €).</t>
  </si>
  <si>
    <t xml:space="preserve">Alta (si &lt; 70%)</t>
  </si>
  <si>
    <t xml:space="preserve">Alto</t>
  </si>
  <si>
    <t xml:space="preserve">Pujar al menos el 70% del valor de subasta.</t>
  </si>
  <si>
    <t xml:space="preserve">Hoja Puja máxima: régimen art. 670 por nivel de puja.</t>
  </si>
  <si>
    <t xml:space="preserve">Plaza solo apta para moto</t>
  </si>
  <si>
    <t xml:space="preserve">Superficie útil registral de 3,75 m² (9,50 m² construidos). La demanda se limita a motos y scooters.</t>
  </si>
  <si>
    <t xml:space="preserve">Alta</t>
  </si>
  <si>
    <t xml:space="preserve">Verificar medidas reales y acceso (rampa o plataforma) con una visita al garaje por C/ Constancia 71.</t>
  </si>
  <si>
    <t xml:space="preserve">Comparables solo de plazas de moto.</t>
  </si>
  <si>
    <t xml:space="preserve">Deudas de comunidad (afección real)</t>
  </si>
  <si>
    <t xml:space="preserve">El adjudicatario responde de las cuotas impagadas del año en curso y de los tres años anteriores (art. 9.1.e LPH). El ejecutado ya debe a la Comunidad.</t>
  </si>
  <si>
    <t xml:space="preserve">Bajo</t>
  </si>
  <si>
    <t xml:space="preserve">Pedir al administrador de la Comunidad un certificado de deuda de la plaza nº 10.</t>
  </si>
  <si>
    <t xml:space="preserve">Cuota × meses impagados (Supuestos, tabla 2).</t>
  </si>
  <si>
    <t xml:space="preserve">IBI pendiente</t>
  </si>
  <si>
    <t xml:space="preserve">El inmueble queda afecto al IBI impagado de hasta 4 años (art. 64 TRLRHL).</t>
  </si>
  <si>
    <t xml:space="preserve">Consultar la deuda en la Agencia Tributaria de Sevilla.</t>
  </si>
  <si>
    <t xml:space="preserve">IBI anual × años pendientes.</t>
  </si>
  <si>
    <t xml:space="preserve">Situación posesoria desconocida</t>
  </si>
  <si>
    <t xml:space="preserve">El edicto indica que no consta la situación posesoria de la plaza (podría usarla un tercero).</t>
  </si>
  <si>
    <t xml:space="preserve">Baja</t>
  </si>
  <si>
    <t xml:space="preserve">Pedir al Juzgado la inspección (art. 669.3 LEC); posesión por art. 675 LEC si está ocupada.</t>
  </si>
  <si>
    <t xml:space="preserve">Escenario pesimista: posesión en el mes 6 y 800 € de coste.</t>
  </si>
  <si>
    <t xml:space="preserve">Competencia en la puja</t>
  </si>
  <si>
    <t xml:space="preserve">Las subastas de garajes de importe bajo atraen a muchos postores; la subasta se prorroga 1 hora tras cada puja (hasta 24 h).</t>
  </si>
  <si>
    <t xml:space="preserve">Fijar la puja máxima de antemano y no superarla.</t>
  </si>
  <si>
    <t xml:space="preserve">Hoja Puja máxima.</t>
  </si>
  <si>
    <t xml:space="preserve">Anuncio de una plaza idéntica en el mismo edificio</t>
  </si>
  <si>
    <t xml:space="preserve">Idealista 112744803: plaza de moto en C/ Virtud 44 con 9,50 m² construidos, 10.000 € y posesión 'a partir de noviembre'. O es esta misma finca anunciada antes de la adjudicación, o es una plaza gemela que competirá en la reventa.</t>
  </si>
  <si>
    <t xml:space="preserve">Tratarlo como precio objetivo de salida, no como comparable independiente.</t>
  </si>
  <si>
    <t xml:space="preserve">Precio de salida base 10.000 € con un 5% de negociación.</t>
  </si>
  <si>
    <t xml:space="preserve">Liquidez de la reventa</t>
  </si>
  <si>
    <t xml:space="preserve">El mercado de plazas de moto es estrecho y los plazos de venta pueden alargarse.</t>
  </si>
  <si>
    <t xml:space="preserve">Precio competitivo; alquiler como plan B.</t>
  </si>
  <si>
    <t xml:space="preserve">Escenario pesimista: 8.000 € y 8 meses.</t>
  </si>
  <si>
    <t xml:space="preserve">Certificación de cargas de 2023</t>
  </si>
  <si>
    <t xml:space="preserve">La certificación es de 24/03/2023. Las cargas posteriores al embargo se cancelan con la adjudicación (art. 674 LEC), pero conviene confirmar la información registral actualizada.</t>
  </si>
  <si>
    <t xml:space="preserve">Pedir una nota simple de la finca 37.841 (Registro nº 2) o revisar la información registral del Portal (art. 667.2 LEC).</t>
  </si>
  <si>
    <t xml:space="preserve">Cargas anteriores = 0 € (Diligencia de 19/03/2025).</t>
  </si>
  <si>
    <t xml:space="preserve">Cambios societarios del ejecutado</t>
  </si>
  <si>
    <t xml:space="preserve">Un directorio empresarial (informa.es) recoge un anuncio de fusión por absorción en el BORME de 11/11/2025 que afecta a SUPERCHINDO, S.L.</t>
  </si>
  <si>
    <t xml:space="preserve">Confirmar con el Juzgado que la sucesión procesal no afecta a la inscripción del decreto.</t>
  </si>
  <si>
    <t xml:space="preserve">No cuantificado.</t>
  </si>
  <si>
    <t xml:space="preserve">Plazos judiciales</t>
  </si>
  <si>
    <t xml:space="preserve">La aprobación del remate, el decreto de adjudicación y el testimonio pueden tardar meses.</t>
  </si>
  <si>
    <t xml:space="preserve">Asumir de 3 a 6 meses.</t>
  </si>
  <si>
    <t xml:space="preserve">Calendario por escenario.</t>
  </si>
  <si>
    <t xml:space="preserve">Suspensión de la subasta</t>
  </si>
  <si>
    <t xml:space="preserve">El ejecutado puede pagar la deuda antes de aprobarse el remate, o un concurso puede suspender la ejecución.</t>
  </si>
  <si>
    <t xml:space="preserve">Se devuelve el depósito.</t>
  </si>
  <si>
    <t xml:space="preserve">Checklist de due diligence antes de pujar</t>
  </si>
  <si>
    <t xml:space="preserve">Comprobación</t>
  </si>
  <si>
    <t xml:space="preserve">Dónde / cómo</t>
  </si>
  <si>
    <t xml:space="preserve">Responsable</t>
  </si>
  <si>
    <t xml:space="preserve">Fechas, tramos y pujas actuales</t>
  </si>
  <si>
    <t xml:space="preserve">Ficha del Portal de Subastas (pestañas Información general y Pujas).</t>
  </si>
  <si>
    <t xml:space="preserve">Pendiente</t>
  </si>
  <si>
    <t xml:space="preserve">Información registral actualizada</t>
  </si>
  <si>
    <t xml:space="preserve">Portal de Subastas (art. 667.2 LEC) o nota simple de la finca 37.841 en el Registro nº 2 de Sevilla.</t>
  </si>
  <si>
    <t xml:space="preserve">Referencia catastral y valor de referencia</t>
  </si>
  <si>
    <t xml:space="preserve">Sede Electrónica del Catastro (C/ Constancia 71, plaza 10).</t>
  </si>
  <si>
    <t xml:space="preserve">Certificado de deuda de comunidad</t>
  </si>
  <si>
    <t xml:space="preserve">Administrador de la CP Calle Virtud 44.</t>
  </si>
  <si>
    <t xml:space="preserve">Deuda de IBI</t>
  </si>
  <si>
    <t xml:space="preserve">Agencia Tributaria de Sevilla.</t>
  </si>
  <si>
    <t xml:space="preserve">Visita y medidas reales de la plaza</t>
  </si>
  <si>
    <t xml:space="preserve">Solicitud de inspección al JPI nº 4 (art. 669.3 LEC); acceso por C/ Constancia 71.</t>
  </si>
  <si>
    <t xml:space="preserve">Régimen fiscal (ITP / IVA)</t>
  </si>
  <si>
    <t xml:space="preserve">Asesor fiscal; consulta al Juzgado sobre el IVA en el remate.</t>
  </si>
  <si>
    <t xml:space="preserve">Subastas relacionadas (local comercial)</t>
  </si>
  <si>
    <t xml:space="preserve">Pestaña 'Relacionados' de la ficha.</t>
  </si>
  <si>
    <t xml:space="preserve">Alta en el Portal y depósito</t>
  </si>
  <si>
    <t xml:space="preserve">Certificado digital; consignar 353,92 € antes del cierre.</t>
  </si>
  <si>
    <t xml:space="preserve">Marco legal aplicable (resumen)</t>
  </si>
  <si>
    <t xml:space="preserve">Art. 647 y 669.1 LEC</t>
  </si>
  <si>
    <t xml:space="preserve">Para pujar hay que consignar el 5% del valor de subasta. El ejecutante puja sin depósito y solo él puede ceder el remate.</t>
  </si>
  <si>
    <t xml:space="preserve">Art. 649 LEC</t>
  </si>
  <si>
    <t xml:space="preserve">La subasta dura 20 días naturales y no se cierra hasta pasada 1 hora desde la última puja (máximo 24 h de ampliación).</t>
  </si>
  <si>
    <t xml:space="preserve">Art. 652–653 LEC</t>
  </si>
  <si>
    <t xml:space="preserve">Reserva de postura: si el rematante no paga, el remate pasa a los siguientes postores y quien no paga pierde el depósito.</t>
  </si>
  <si>
    <t xml:space="preserve">Puja ≥ 70%: se aprueba el remate y se paga el resto en 40 días. Puja &lt; 70%: el ejecutado tiene 10 días para presentar un tercero que mejore la puja, después el ejecutante tiene 5 días para adjudicarse la plaza por el 70% o por lo que se le debe; si no lo hace, se aprueba la puja si es ≥ 50%, y por debajo decide el LAJ.</t>
  </si>
  <si>
    <t xml:space="preserve">Art. 668.2 y 642 LEC</t>
  </si>
  <si>
    <t xml:space="preserve">Las cargas anteriores subsisten y el adjudicatario se subroga en ellas. En esta finca son 0 €.</t>
  </si>
  <si>
    <t xml:space="preserve">Art. 674–675 LEC</t>
  </si>
  <si>
    <t xml:space="preserve">Testimonio del decreto como título inscribible, cancelación de las cargas posteriores y entrega de la posesión.</t>
  </si>
  <si>
    <t xml:space="preserve">Art. 9.1.e LPH</t>
  </si>
  <si>
    <t xml:space="preserve">Afección del inmueble a las cuotas de comunidad del año en curso y los tres anteriores.</t>
  </si>
  <si>
    <t xml:space="preserve">Art. 64 TRLRHL</t>
  </si>
  <si>
    <t xml:space="preserve">Afección del inmueble al IBI impagado.</t>
  </si>
  <si>
    <t xml:space="preserve">ITP Andalucía</t>
  </si>
  <si>
    <t xml:space="preserve">Tipo general del 7% sobre el mayor entre el precio y el valor de referencia del Catastro (Ley 11/2021). El TSJ de Galicia (23/04/2026) aplicó el valor de referencia también en una subasta.</t>
  </si>
  <si>
    <t xml:space="preserve">Fuentes</t>
  </si>
  <si>
    <t xml:space="preserve">Documentos del expediente y fuentes externas consultadas el 13/10/2026.</t>
  </si>
  <si>
    <t xml:space="preserve">Uso en el modelo</t>
  </si>
  <si>
    <t xml:space="preserve">Referencia / enlace</t>
  </si>
  <si>
    <t xml:space="preserve">Doc. 1 — Edicto de subasta, JPI nº 4 de Sevilla (16/06/2025)</t>
  </si>
  <si>
    <t xml:space="preserve">Descripción del bien, cantidad reclamada, condiciones generales y particulares, situación posesoria.</t>
  </si>
  <si>
    <t xml:space="preserve">Ejecución de títulos judiciales 1455/2022</t>
  </si>
  <si>
    <t xml:space="preserve">Doc. 2 — Mandamiento y certificación de dominio y cargas, Registro de la Propiedad nº 2 de Sevilla (24/03/2023)</t>
  </si>
  <si>
    <t xml:space="preserve">Titularidad, superficies, cuota, cargas, ausencia de titulares posteriores.</t>
  </si>
  <si>
    <t xml:space="preserve">Finca 37.841 · IDUFIR 41028000513716</t>
  </si>
  <si>
    <t xml:space="preserve">Doc. 4 — Decreto de valoración definitiva (19/03/2025)</t>
  </si>
  <si>
    <t xml:space="preserve">Valoración pericial de 7.078,45 €.</t>
  </si>
  <si>
    <t xml:space="preserve">Art. 639.4 LEC</t>
  </si>
  <si>
    <t xml:space="preserve">Doc. 5 — Diligencia de ordenación (19/03/2025)</t>
  </si>
  <si>
    <t xml:space="preserve">Valor a efectos de subasta y cargas deducibles (0 €).</t>
  </si>
  <si>
    <t xml:space="preserve">Art. 666 LEC</t>
  </si>
  <si>
    <t xml:space="preserve">Identificador de la subasta.</t>
  </si>
  <si>
    <t xml:space="preserve">https://subastas.boe.es/detalleSubasta.php?idSub=SUB-JA-2026-265709</t>
  </si>
  <si>
    <t xml:space="preserve">idealista — comparables de venta y alquiler de plazas de moto</t>
  </si>
  <si>
    <t xml:space="preserve">Precio de salida y renta (hoja Comparables).</t>
  </si>
  <si>
    <t xml:space="preserve">https://www.idealista.com/venta-garajes/sevilla-sevilla/con-moto/</t>
  </si>
  <si>
    <t xml:space="preserve">RealAdvisor — Calle Virtud (41010)</t>
  </si>
  <si>
    <t xml:space="preserve">Código postal y contexto de precios del barrio.</t>
  </si>
  <si>
    <t xml:space="preserve">https://realadvisor.es/es/precios-viviendas/41010-sevilla/calle-virtud</t>
  </si>
  <si>
    <t xml:space="preserve">Ley de Enjuiciamiento Civil (texto consolidado)</t>
  </si>
  <si>
    <t xml:space="preserve">Arts. 642, 647, 649, 652–653, 666–675.</t>
  </si>
  <si>
    <t xml:space="preserve">https://www.boe.es/buscar/act.php?id=BOE-A-2000-323</t>
  </si>
  <si>
    <t xml:space="preserve">Ley de Propiedad Horizontal</t>
  </si>
  <si>
    <t xml:space="preserve">Art. 9.1.e (afección por cuotas de comunidad).</t>
  </si>
  <si>
    <t xml:space="preserve">https://www.boe.es/buscar/act.php?id=BOE-A-1960-10906</t>
  </si>
  <si>
    <t xml:space="preserve">TSJ de Galicia, 23/04/2026 — valor de referencia en subastas</t>
  </si>
  <si>
    <t xml:space="preserve">Base imponible del ITP en adjudicaciones en subasta.</t>
  </si>
  <si>
    <t xml:space="preserve">https://www.poderjudicial.es/cgpj/es/Poder-Judicial/Tribunales-Superiores-de-Justicia/TSJ-Galicia/Noticias-Judiciales-TSJ-Galicia/El-TSXG-ratifica-que-el-valor-de-referencia-de-los-inmuebles-prevalece-sobre-el-de-adquisicion-en-subastas-para-el-calculo-de-la-base-imponible-del-Impuesto-sobre-Transmisiones-Patrimoniales-</t>
  </si>
  <si>
    <t xml:space="preserve">ITP en Andalucía 2026</t>
  </si>
  <si>
    <t xml:space="preserve">Tipo general del 7%.</t>
  </si>
  <si>
    <t xml:space="preserve">https://taxdown.es/informacion-impuestos/itp-andalucia</t>
  </si>
  <si>
    <t xml:space="preserve">Directorio informa.es — SUPERCHINDO</t>
  </si>
  <si>
    <t xml:space="preserve">Anuncio de fusión por absorción en el BORME (11/11/2025).</t>
  </si>
  <si>
    <t xml:space="preserve">https://www.informa.es/directorio-empresas/Empresa_SUPERCHINDO.html</t>
  </si>
  <si>
    <t xml:space="preserve">Limitaciones: la ficha del Portal (fechas, tramos y pujas) no se pudo consultar desde el entorno de trabajo y el documento 3 no se aportó. Los comparables son precios de oferta, no de cierre. Este modelo no constituye asesoramiento jurídico ni fiscal.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</si>
</sst>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0&quot; €&quot;;\(#,##0.00&quot; €)&quot;;\-"/>
    <numFmt numFmtId="166" formatCode="#,##0&quot; €&quot;;\(#,##0&quot; €)&quot;;\-"/>
    <numFmt numFmtId="167" formatCode="0.0%;\(0.0%\);\-"/>
    <numFmt numFmtId="168" formatCode="dd/mm/yyyy"/>
    <numFmt numFmtId="169" formatCode="0"/>
    <numFmt numFmtId="170" formatCode="#,##0.00;\(#,##0.00\);\-"/>
    <numFmt numFmtId="171" formatCode="0.000%"/>
    <numFmt numFmtId="172" formatCode="0.00\x"/>
    <numFmt numFmtId="173" formatCode="mmm\-yy"/>
    <numFmt numFmtId="174" formatCode="0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color rgb="FF595959"/>
      <name val="Arial"/>
      <family val="0"/>
      <charset val="1"/>
    </font>
    <font>
      <u val="single"/>
      <sz val="8"/>
      <color rgb="FF0563C1"/>
      <name val="Arial"/>
      <family val="0"/>
      <charset val="1"/>
    </font>
    <font>
      <i val="true"/>
      <sz val="8"/>
      <color rgb="FF595959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0000FF"/>
      <name val="Arial"/>
      <family val="0"/>
      <charset val="1"/>
    </font>
    <font>
      <u val="single"/>
      <sz val="9"/>
      <color rgb="FF0563C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FFEB9C"/>
        <bgColor rgb="FFF2F2F2"/>
      </patternFill>
    </fill>
    <fill>
      <patternFill patternType="solid">
        <fgColor rgb="FFFFC7CE"/>
        <bgColor rgb="FFD9D9D9"/>
      </patternFill>
    </fill>
    <fill>
      <patternFill patternType="solid">
        <fgColor rgb="FFC6EFCE"/>
        <bgColor rgb="FFD9E1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11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1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name val="Arial"/>
        <charset val="1"/>
        <family val="0"/>
        <color rgb="FFC00000"/>
      </font>
    </dxf>
    <dxf>
      <fill>
        <patternFill>
          <bgColor rgb="FFFFFF00"/>
        </patternFill>
      </fill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2F2F2"/>
      <rgbColor rgb="FFD9E1F2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A78D6"/>
      <rgbColor rgb="FF33CCCC"/>
      <rgbColor rgb="FF99CC00"/>
      <rgbColor rgb="FFFFC000"/>
      <rgbColor rgb="FFFF9900"/>
      <rgbColor rgb="FFEB6834"/>
      <rgbColor rgb="FF595959"/>
      <rgbColor rgb="FFA6A6A6"/>
      <rgbColor rgb="FF1F3864"/>
      <rgbColor rgb="FF70AD4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Rentabilidad según la puja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"ROI compraventa"</c:f>
              <c:strCache>
                <c:ptCount val="1"/>
                <c:pt idx="0">
                  <c:v>ROI compraventa</c:v>
                </c:pt>
              </c:strCache>
            </c:strRef>
          </c:tx>
          <c:spPr>
            <a:solidFill>
              <a:srgbClr val="2a78d6"/>
            </a:solidFill>
            <a:ln w="255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'Puja máxima'!$C$25:$C$41</c:f>
              <c:strCache>
                <c:ptCount val="17"/>
                <c:pt idx="0">
                  <c:v>3,539 €</c:v>
                </c:pt>
                <c:pt idx="1">
                  <c:v>3,893 €</c:v>
                </c:pt>
                <c:pt idx="2">
                  <c:v>4,247 €</c:v>
                </c:pt>
                <c:pt idx="3">
                  <c:v>4,601 €</c:v>
                </c:pt>
                <c:pt idx="4">
                  <c:v>4,955 €</c:v>
                </c:pt>
                <c:pt idx="5">
                  <c:v>5,309 €</c:v>
                </c:pt>
                <c:pt idx="6">
                  <c:v>5,663 €</c:v>
                </c:pt>
                <c:pt idx="7">
                  <c:v>6,017 €</c:v>
                </c:pt>
                <c:pt idx="8">
                  <c:v>6,371 €</c:v>
                </c:pt>
                <c:pt idx="9">
                  <c:v>6,725 €</c:v>
                </c:pt>
                <c:pt idx="10">
                  <c:v>7,078 €</c:v>
                </c:pt>
                <c:pt idx="11">
                  <c:v>7,432 €</c:v>
                </c:pt>
                <c:pt idx="12">
                  <c:v>7,786 €</c:v>
                </c:pt>
                <c:pt idx="13">
                  <c:v>8,140 €</c:v>
                </c:pt>
                <c:pt idx="14">
                  <c:v>8,494 €</c:v>
                </c:pt>
                <c:pt idx="15">
                  <c:v>8,848 €</c:v>
                </c:pt>
                <c:pt idx="16">
                  <c:v>9,202 €</c:v>
                </c:pt>
              </c:strCache>
            </c:strRef>
          </c:cat>
          <c:val>
            <c:numRef>
              <c:f>'Puja máxima'!$H$25:$H$41</c:f>
              <c:numCache>
                <c:formatCode>0.0%;\(0.0%\);\-</c:formatCode>
                <c:ptCount val="17"/>
                <c:pt idx="0">
                  <c:v>0.773964123429025</c:v>
                </c:pt>
                <c:pt idx="1">
                  <c:v>0.65929549016959</c:v>
                </c:pt>
                <c:pt idx="2">
                  <c:v>0.558551104921867</c:v>
                </c:pt>
                <c:pt idx="3">
                  <c:v>0.469339902871524</c:v>
                </c:pt>
                <c:pt idx="4">
                  <c:v>0.389788636040711</c:v>
                </c:pt>
                <c:pt idx="5">
                  <c:v>0.318408897562795</c:v>
                </c:pt>
                <c:pt idx="6">
                  <c:v>0.254003122050447</c:v>
                </c:pt>
                <c:pt idx="7">
                  <c:v>0.195596854643002</c:v>
                </c:pt>
                <c:pt idx="8">
                  <c:v>0.142389105472125</c:v>
                </c:pt>
                <c:pt idx="9">
                  <c:v>0.0937153955948014</c:v>
                </c:pt>
                <c:pt idx="10">
                  <c:v>0.049019863866758</c:v>
                </c:pt>
                <c:pt idx="11">
                  <c:v>0.00507171260485943</c:v>
                </c:pt>
                <c:pt idx="12">
                  <c:v>-0.0353421357815587</c:v>
                </c:pt>
                <c:pt idx="13">
                  <c:v>-0.0726315428512514</c:v>
                </c:pt>
                <c:pt idx="14">
                  <c:v>-0.107145354998027</c:v>
                </c:pt>
                <c:pt idx="15">
                  <c:v>-0.139182350039575</c:v>
                </c:pt>
                <c:pt idx="16">
                  <c:v>-0.168999908756142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"Rentabilidad neta alquiler"</c:f>
              <c:strCache>
                <c:ptCount val="1"/>
                <c:pt idx="0">
                  <c:v>Rentabilidad neta alquiler</c:v>
                </c:pt>
              </c:strCache>
            </c:strRef>
          </c:tx>
          <c:spPr>
            <a:solidFill>
              <a:srgbClr val="eb6834"/>
            </a:solidFill>
            <a:ln w="2556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'Puja máxima'!$C$25:$C$41</c:f>
              <c:strCache>
                <c:ptCount val="17"/>
                <c:pt idx="0">
                  <c:v>3,539 €</c:v>
                </c:pt>
                <c:pt idx="1">
                  <c:v>3,893 €</c:v>
                </c:pt>
                <c:pt idx="2">
                  <c:v>4,247 €</c:v>
                </c:pt>
                <c:pt idx="3">
                  <c:v>4,601 €</c:v>
                </c:pt>
                <c:pt idx="4">
                  <c:v>4,955 €</c:v>
                </c:pt>
                <c:pt idx="5">
                  <c:v>5,309 €</c:v>
                </c:pt>
                <c:pt idx="6">
                  <c:v>5,663 €</c:v>
                </c:pt>
                <c:pt idx="7">
                  <c:v>6,017 €</c:v>
                </c:pt>
                <c:pt idx="8">
                  <c:v>6,371 €</c:v>
                </c:pt>
                <c:pt idx="9">
                  <c:v>6,725 €</c:v>
                </c:pt>
                <c:pt idx="10">
                  <c:v>7,078 €</c:v>
                </c:pt>
                <c:pt idx="11">
                  <c:v>7,432 €</c:v>
                </c:pt>
                <c:pt idx="12">
                  <c:v>7,786 €</c:v>
                </c:pt>
                <c:pt idx="13">
                  <c:v>8,140 €</c:v>
                </c:pt>
                <c:pt idx="14">
                  <c:v>8,494 €</c:v>
                </c:pt>
                <c:pt idx="15">
                  <c:v>8,848 €</c:v>
                </c:pt>
                <c:pt idx="16">
                  <c:v>9,202 €</c:v>
                </c:pt>
              </c:strCache>
            </c:strRef>
          </c:cat>
          <c:val>
            <c:numRef>
              <c:f>'Puja máxima'!$K$25:$K$41</c:f>
              <c:numCache>
                <c:formatCode>0.0%;\(0.0%\);\-</c:formatCode>
                <c:ptCount val="17"/>
                <c:pt idx="0">
                  <c:v>0.0476970411793902</c:v>
                </c:pt>
                <c:pt idx="1">
                  <c:v>0.0445912257768932</c:v>
                </c:pt>
                <c:pt idx="2">
                  <c:v>0.0418651563163922</c:v>
                </c:pt>
                <c:pt idx="3">
                  <c:v>0.0394531984155731</c:v>
                </c:pt>
                <c:pt idx="4">
                  <c:v>0.0373040191993262</c:v>
                </c:pt>
                <c:pt idx="5">
                  <c:v>0.0353768932197681</c:v>
                </c:pt>
                <c:pt idx="6">
                  <c:v>0.0336390971475656</c:v>
                </c:pt>
                <c:pt idx="7">
                  <c:v>0.0320640363829286</c:v>
                </c:pt>
                <c:pt idx="8">
                  <c:v>0.030629874424873</c:v>
                </c:pt>
                <c:pt idx="9">
                  <c:v>0.0293185143262486</c:v>
                </c:pt>
                <c:pt idx="10">
                  <c:v>0.0281148310493825</c:v>
                </c:pt>
                <c:pt idx="11">
                  <c:v>0.0269317392443368</c:v>
                </c:pt>
                <c:pt idx="12">
                  <c:v>0.0258441972996769</c:v>
                </c:pt>
                <c:pt idx="13">
                  <c:v>0.0248410791825532</c:v>
                </c:pt>
                <c:pt idx="14">
                  <c:v>0.0239129217042331</c:v>
                </c:pt>
                <c:pt idx="15">
                  <c:v>0.0230516250581447</c:v>
                </c:pt>
                <c:pt idx="16">
                  <c:v>0.0222502158242098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7134479"/>
        <c:axId val="80337132"/>
      </c:lineChart>
      <c:catAx>
        <c:axId val="271344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Puja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337132"/>
        <c:crosses val="autoZero"/>
        <c:auto val="1"/>
        <c:lblAlgn val="ctr"/>
        <c:lblOffset val="100"/>
        <c:noMultiLvlLbl val="0"/>
      </c:catAx>
      <c:valAx>
        <c:axId val="80337132"/>
        <c:scaling>
          <c:orientation val="minMax"/>
          <c:max val="1"/>
          <c:min val="-0.4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Rentabilidad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134479"/>
        <c:crosses val="autoZero"/>
        <c:crossBetween val="between"/>
        <c:majorUnit val="0.2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46</xdr:row>
      <xdr:rowOff>18360</xdr:rowOff>
    </xdr:from>
    <xdr:to>
      <xdr:col>5</xdr:col>
      <xdr:colOff>956880</xdr:colOff>
      <xdr:row>64</xdr:row>
      <xdr:rowOff>189000</xdr:rowOff>
    </xdr:to>
    <xdr:graphicFrame>
      <xdr:nvGraphicFramePr>
        <xdr:cNvPr id="0" name="Chart 1"/>
        <xdr:cNvGraphicFramePr/>
      </xdr:nvGraphicFramePr>
      <xdr:xfrm>
        <a:off x="141120" y="895356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idealista.com/inmueble/112744803/?utm_medium=generativeAI&amp;utm_campaign=appChatgpt&amp;utm_creation=link&amp;utm_source=idGpt&amp;utm_project=leadGeneration&amp;utm_link=inChat_detail" TargetMode="External"/><Relationship Id="rId2" Type="http://schemas.openxmlformats.org/officeDocument/2006/relationships/hyperlink" Target="https://www.idealista.com/inmueble/104181518/?utm_medium=generativeAI&amp;utm_campaign=appChatgpt&amp;utm_creation=link&amp;utm_source=idGpt&amp;utm_project=leadGeneration&amp;utm_link=inChat_detail" TargetMode="External"/><Relationship Id="rId3" Type="http://schemas.openxmlformats.org/officeDocument/2006/relationships/hyperlink" Target="https://www.idealista.com/inmueble/102202705/?utm_medium=generativeAI&amp;utm_campaign=appChatgpt&amp;utm_creation=link&amp;utm_source=idGpt&amp;utm_project=leadGeneration&amp;utm_link=inChat_detail" TargetMode="External"/><Relationship Id="rId4" Type="http://schemas.openxmlformats.org/officeDocument/2006/relationships/hyperlink" Target="https://www.idealista.com/inmueble/112644449/?utm_medium=generativeAI&amp;utm_campaign=appChatgpt&amp;utm_creation=link&amp;utm_source=idGpt&amp;utm_project=leadGeneration&amp;utm_link=inChat_detail" TargetMode="External"/><Relationship Id="rId5" Type="http://schemas.openxmlformats.org/officeDocument/2006/relationships/hyperlink" Target="https://www.idealista.com/inmueble/112732191/?utm_medium=generativeAI&amp;utm_campaign=appChatgpt&amp;utm_creation=link&amp;utm_source=idGpt&amp;utm_project=leadGeneration&amp;utm_link=inChat_detail" TargetMode="External"/><Relationship Id="rId6" Type="http://schemas.openxmlformats.org/officeDocument/2006/relationships/hyperlink" Target="https://www.idealista.com/inmueble/111806571/?utm_medium=generativeAI&amp;utm_campaign=appChatgpt&amp;utm_creation=link&amp;utm_source=idGpt&amp;utm_project=leadGeneration&amp;utm_link=inChat_detail" TargetMode="External"/><Relationship Id="rId7" Type="http://schemas.openxmlformats.org/officeDocument/2006/relationships/hyperlink" Target="https://www.idealista.com/inmueble/112521156/?utm_medium=generativeAI&amp;utm_campaign=appChatgpt&amp;utm_creation=link&amp;utm_source=idGpt&amp;utm_project=leadGeneration&amp;utm_link=inChat_detail" TargetMode="External"/><Relationship Id="rId8" Type="http://schemas.openxmlformats.org/officeDocument/2006/relationships/hyperlink" Target="https://www.idealista.com/inmueble/111834117/?utm_medium=generativeAI&amp;utm_campaign=appChatgpt&amp;utm_creation=link&amp;utm_source=idGpt&amp;utm_project=leadGeneration&amp;utm_link=inChat_detail" TargetMode="External"/><Relationship Id="rId9" Type="http://schemas.openxmlformats.org/officeDocument/2006/relationships/hyperlink" Target="https://www.idealista.com/inmueble/100622617/?utm_medium=generativeAI&amp;utm_campaign=appChatgpt&amp;utm_creation=link&amp;utm_source=idGpt&amp;utm_project=leadGeneration&amp;utm_link=inChat_detail" TargetMode="External"/><Relationship Id="rId10" Type="http://schemas.openxmlformats.org/officeDocument/2006/relationships/hyperlink" Target="https://www.idealista.com/inmueble/105263661/?utm_medium=generativeAI&amp;utm_campaign=appChatgpt&amp;utm_creation=link&amp;utm_source=idGpt&amp;utm_project=leadGeneration&amp;utm_link=inChat_detail" TargetMode="External"/><Relationship Id="rId11" Type="http://schemas.openxmlformats.org/officeDocument/2006/relationships/hyperlink" Target="https://www.idealista.com/inmueble/109368921/?utm_medium=generativeAI&amp;utm_campaign=appChatgpt&amp;utm_creation=link&amp;utm_source=idGpt&amp;utm_project=leadGeneration&amp;utm_link=inChat_detail" TargetMode="External"/><Relationship Id="rId12" Type="http://schemas.openxmlformats.org/officeDocument/2006/relationships/hyperlink" Target="https://www.idealista.com/inmueble/107119263/?utm_medium=generativeAI&amp;utm_campaign=appChatgpt&amp;utm_creation=link&amp;utm_source=idGpt&amp;utm_project=leadGeneration&amp;utm_link=inChat_detail" TargetMode="External"/><Relationship Id="rId13" Type="http://schemas.openxmlformats.org/officeDocument/2006/relationships/hyperlink" Target="https://www.idealista.com/inmueble/112181517/?utm_medium=generativeAI&amp;utm_campaign=appChatgpt&amp;utm_creation=link&amp;utm_source=idGpt&amp;utm_project=leadGeneration&amp;utm_link=inChat_detail" TargetMode="External"/><Relationship Id="rId14" Type="http://schemas.openxmlformats.org/officeDocument/2006/relationships/hyperlink" Target="https://www.idealista.com/inmueble/105870147/?utm_medium=generativeAI&amp;utm_campaign=appChatgpt&amp;utm_creation=link&amp;utm_source=idGpt&amp;utm_project=leadGeneration&amp;utm_link=inChat_detail" TargetMode="External"/><Relationship Id="rId15" Type="http://schemas.openxmlformats.org/officeDocument/2006/relationships/hyperlink" Target="https://www.idealista.com/inmueble/111785329/?utm_medium=generativeAI&amp;utm_campaign=appChatgpt&amp;utm_creation=link&amp;utm_source=idGpt&amp;utm_project=leadGeneration&amp;utm_link=inChat_detail" TargetMode="External"/><Relationship Id="rId16" Type="http://schemas.openxmlformats.org/officeDocument/2006/relationships/hyperlink" Target="https://www.idealista.com/inmueble/106975276/?utm_medium=generativeAI&amp;utm_campaign=appChatgpt&amp;utm_creation=link&amp;utm_source=idGpt&amp;utm_project=leadGeneration&amp;utm_link=inChat_detail" TargetMode="External"/><Relationship Id="rId17" Type="http://schemas.openxmlformats.org/officeDocument/2006/relationships/hyperlink" Target="https://www.idealista.com/inmueble/29257022/?utm_medium=generativeAI&amp;utm_campaign=appChatgpt&amp;utm_creation=link&amp;utm_source=idGpt&amp;utm_project=leadGeneration&amp;utm_link=inChat_detail" TargetMode="External"/><Relationship Id="rId18" Type="http://schemas.openxmlformats.org/officeDocument/2006/relationships/hyperlink" Target="https://www.idealista.com/inmueble/82917753/?utm_medium=generativeAI&amp;utm_campaign=appChatgpt&amp;utm_creation=link&amp;utm_source=idGpt&amp;utm_project=leadGeneration&amp;utm_link=inChat_detail" TargetMode="External"/><Relationship Id="rId19" Type="http://schemas.openxmlformats.org/officeDocument/2006/relationships/hyperlink" Target="https://www.idealista.com/inmueble/89222824/?utm_medium=generativeAI&amp;utm_campaign=appChatgpt&amp;utm_creation=link&amp;utm_source=idGpt&amp;utm_project=leadGeneration&amp;utm_link=inChat_detail" TargetMode="External"/><Relationship Id="rId20" Type="http://schemas.openxmlformats.org/officeDocument/2006/relationships/hyperlink" Target="https://www.idealista.com/inmueble/96520950/?utm_medium=generativeAI&amp;utm_campaign=appChatgpt&amp;utm_creation=link&amp;utm_source=idGpt&amp;utm_project=leadGeneration&amp;utm_link=inChat_detail" TargetMode="External"/><Relationship Id="rId21" Type="http://schemas.openxmlformats.org/officeDocument/2006/relationships/hyperlink" Target="https://www.idealista.com/inmueble/111286433/?utm_medium=generativeAI&amp;utm_campaign=appChatgpt&amp;utm_creation=link&amp;utm_source=idGpt&amp;utm_project=leadGeneration&amp;utm_link=inChat_detail" TargetMode="External"/><Relationship Id="rId22" Type="http://schemas.openxmlformats.org/officeDocument/2006/relationships/hyperlink" Target="https://www.idealista.com/inmueble/84436084/?utm_medium=generativeAI&amp;utm_campaign=appChatgpt&amp;utm_creation=link&amp;utm_source=idGpt&amp;utm_project=leadGeneration&amp;utm_link=inChat_detail" TargetMode="External"/><Relationship Id="rId23" Type="http://schemas.openxmlformats.org/officeDocument/2006/relationships/hyperlink" Target="https://www.idealista.com/inmueble/87211204/?utm_medium=generativeAI&amp;utm_campaign=appChatgpt&amp;utm_creation=link&amp;utm_source=idGpt&amp;utm_project=leadGeneration&amp;utm_link=inChat_detail" TargetMode="External"/><Relationship Id="rId24" Type="http://schemas.openxmlformats.org/officeDocument/2006/relationships/hyperlink" Target="https://www.idealista.com/inmueble/86864183/?utm_medium=generativeAI&amp;utm_campaign=appChatgpt&amp;utm_creation=link&amp;utm_source=idGpt&amp;utm_project=leadGeneration&amp;utm_link=inChat_detail" TargetMode="External"/><Relationship Id="rId25" Type="http://schemas.openxmlformats.org/officeDocument/2006/relationships/hyperlink" Target="https://www.idealista.com/inmueble/38430792/?utm_medium=generativeAI&amp;utm_campaign=appChatgpt&amp;utm_creation=link&amp;utm_source=idGpt&amp;utm_project=leadGeneration&amp;utm_link=inChat_detail" TargetMode="External"/><Relationship Id="rId26" Type="http://schemas.openxmlformats.org/officeDocument/2006/relationships/hyperlink" Target="https://www.idealista.com/inmueble/92276326/?utm_medium=generativeAI&amp;utm_campaign=appChatgpt&amp;utm_creation=link&amp;utm_source=idGpt&amp;utm_project=leadGeneration&amp;utm_link=inChat_detail" TargetMode="External"/><Relationship Id="rId27" Type="http://schemas.openxmlformats.org/officeDocument/2006/relationships/hyperlink" Target="https://www.idealista.com/inmueble/31113331/?utm_medium=generativeAI&amp;utm_campaign=appChatgpt&amp;utm_creation=link&amp;utm_source=idGpt&amp;utm_project=leadGeneration&amp;utm_link=inChat_detail" TargetMode="External"/><Relationship Id="rId28" Type="http://schemas.openxmlformats.org/officeDocument/2006/relationships/hyperlink" Target="https://www.idealista.com/inmueble/84484073/?utm_medium=generativeAI&amp;utm_campaign=appChatgpt&amp;utm_creation=link&amp;utm_source=idGpt&amp;utm_project=leadGeneration&amp;utm_link=inChat_detail" TargetMode="External"/><Relationship Id="rId29" Type="http://schemas.openxmlformats.org/officeDocument/2006/relationships/hyperlink" Target="https://www.idealista.com/inmueble/85885052/?utm_medium=generativeAI&amp;utm_campaign=appChatgpt&amp;utm_creation=link&amp;utm_source=idGpt&amp;utm_project=leadGeneration&amp;utm_link=inChat_detail" TargetMode="External"/><Relationship Id="rId30" Type="http://schemas.openxmlformats.org/officeDocument/2006/relationships/hyperlink" Target="https://www.idealista.com/inmueble/93212844/?utm_medium=generativeAI&amp;utm_campaign=appChatgpt&amp;utm_creation=link&amp;utm_source=idGpt&amp;utm_project=leadGeneration&amp;utm_link=inChat_detail" TargetMode="External"/><Relationship Id="rId31" Type="http://schemas.openxmlformats.org/officeDocument/2006/relationships/hyperlink" Target="https://www.idealista.com/inmueble/94516135/?utm_medium=generativeAI&amp;utm_campaign=appChatgpt&amp;utm_creation=link&amp;utm_source=idGpt&amp;utm_project=leadGeneration&amp;utm_link=inChat_detail" TargetMode="External"/><Relationship Id="rId32" Type="http://schemas.openxmlformats.org/officeDocument/2006/relationships/hyperlink" Target="https://www.idealista.com/inmueble/103494976/?utm_medium=generativeAI&amp;utm_campaign=appChatgpt&amp;utm_creation=link&amp;utm_source=idGpt&amp;utm_project=leadGeneration&amp;utm_link=inChat_detail" TargetMode="External"/><Relationship Id="rId33" Type="http://schemas.openxmlformats.org/officeDocument/2006/relationships/hyperlink" Target="https://www.idealista.com/inmueble/107688502/?utm_medium=generativeAI&amp;utm_campaign=appChatgpt&amp;utm_creation=link&amp;utm_source=idGpt&amp;utm_project=leadGeneration&amp;utm_link=inChat_detail" TargetMode="External"/><Relationship Id="rId34" Type="http://schemas.openxmlformats.org/officeDocument/2006/relationships/hyperlink" Target="https://www.idealista.com/inmueble/109160656/?utm_medium=generativeAI&amp;utm_campaign=appChatgpt&amp;utm_creation=link&amp;utm_source=idGpt&amp;utm_project=leadGeneration&amp;utm_link=inChat_detail" TargetMode="External"/><Relationship Id="rId35" Type="http://schemas.openxmlformats.org/officeDocument/2006/relationships/hyperlink" Target="https://www.idealista.com/inmueble/97438138/?utm_medium=generativeAI&amp;utm_campaign=appChatgpt&amp;utm_creation=link&amp;utm_source=idGpt&amp;utm_project=leadGeneration&amp;utm_link=inChat_detail" TargetMode="External"/><Relationship Id="rId36" Type="http://schemas.openxmlformats.org/officeDocument/2006/relationships/hyperlink" Target="https://www.idealista.com/inmueble/111143270/?utm_medium=generativeAI&amp;utm_campaign=appChatgpt&amp;utm_creation=link&amp;utm_source=idGpt&amp;utm_project=leadGeneration&amp;utm_link=inChat_detail" TargetMode="External"/><Relationship Id="rId37" Type="http://schemas.openxmlformats.org/officeDocument/2006/relationships/hyperlink" Target="https://www.idealista.com/inmueble/105349791/?utm_medium=generativeAI&amp;utm_campaign=appChatgpt&amp;utm_creation=link&amp;utm_source=idGpt&amp;utm_project=leadGeneration&amp;utm_link=inChat_detail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s://subastas.boe.es/detalleSubasta.php?idSub=SUB-JA-2026-265709" TargetMode="External"/><Relationship Id="rId2" Type="http://schemas.openxmlformats.org/officeDocument/2006/relationships/hyperlink" Target="https://www.idealista.com/venta-garajes/sevilla-sevilla/con-moto/" TargetMode="External"/><Relationship Id="rId3" Type="http://schemas.openxmlformats.org/officeDocument/2006/relationships/hyperlink" Target="https://realadvisor.es/es/precios-viviendas/41010-sevilla/calle-virtud" TargetMode="External"/><Relationship Id="rId4" Type="http://schemas.openxmlformats.org/officeDocument/2006/relationships/hyperlink" Target="https://www.boe.es/buscar/act.php?id=BOE-A-2000-323" TargetMode="External"/><Relationship Id="rId5" Type="http://schemas.openxmlformats.org/officeDocument/2006/relationships/hyperlink" Target="https://www.boe.es/buscar/act.php?id=BOE-A-1960-10906" TargetMode="External"/><Relationship Id="rId6" Type="http://schemas.openxmlformats.org/officeDocument/2006/relationships/hyperlink" Target="https://www.poderjudicial.es/cgpj/es/Poder-Judicial/Tribunales-Superiores-de-Justicia/TSJ-Galicia/Noticias-Judiciales-TSJ-Galicia/El-TSXG-ratifica-que-el-valor-de-referencia-de-los-inmuebles-prevalece-sobre-el-de-adquisicion-en-subastas-para-el-calculo-de" TargetMode="External"/><Relationship Id="rId7" Type="http://schemas.openxmlformats.org/officeDocument/2006/relationships/hyperlink" Target="https://taxdown.es/informacion-impuestos/itp-andalucia" TargetMode="External"/><Relationship Id="rId8" Type="http://schemas.openxmlformats.org/officeDocument/2006/relationships/hyperlink" Target="https://www.informa.es/directorio-empresas/Empresa_SUPERCHINDO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2:H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8"/>
    <col collapsed="false" customWidth="true" hidden="false" outlineLevel="0" max="3" min="3" style="0" width="17"/>
    <col collapsed="false" customWidth="true" hidden="false" outlineLevel="0" max="4" min="4" style="0" width="4"/>
    <col collapsed="false" customWidth="true" hidden="false" outlineLevel="0" max="5" min="5" style="0" width="46"/>
    <col collapsed="false" customWidth="true" hidden="false" outlineLevel="0" max="6" min="6" style="0" width="22"/>
    <col collapsed="false" customWidth="true" hidden="false" outlineLevel="0" max="7" min="7" style="0" width="2"/>
    <col collapsed="false" customWidth="true" hidden="false" outlineLevel="0" max="8" min="8" style="0" width="3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  <c r="C4" s="4" t="str">
        <f aca="false">NombreEscenario</f>
        <v>Base</v>
      </c>
      <c r="E4" s="3" t="s">
        <v>3</v>
      </c>
      <c r="F4" s="4" t="str">
        <f aca="false">NombreEstrategia</f>
        <v>Compraventa (reventa)</v>
      </c>
      <c r="H4" s="5" t="s">
        <v>4</v>
      </c>
    </row>
    <row r="6" customFormat="false" ht="15" hidden="false" customHeight="false" outlineLevel="0" collapsed="false">
      <c r="B6" s="6" t="s">
        <v>5</v>
      </c>
      <c r="C6" s="7"/>
      <c r="E6" s="6" t="s">
        <v>6</v>
      </c>
      <c r="F6" s="7"/>
    </row>
    <row r="7" customFormat="false" ht="15" hidden="false" customHeight="false" outlineLevel="0" collapsed="false">
      <c r="B7" s="3" t="s">
        <v>7</v>
      </c>
      <c r="C7" s="8" t="n">
        <f aca="false">ValorSubasta</f>
        <v>7078.45</v>
      </c>
      <c r="E7" s="3" t="s">
        <v>8</v>
      </c>
      <c r="F7" s="9" t="n">
        <f aca="false">Puja</f>
        <v>5500</v>
      </c>
    </row>
    <row r="8" customFormat="false" ht="15" hidden="false" customHeight="false" outlineLevel="0" collapsed="false">
      <c r="B8" s="10" t="s">
        <v>9</v>
      </c>
      <c r="C8" s="11" t="n">
        <f aca="false">Deposito</f>
        <v>353.9225</v>
      </c>
      <c r="E8" s="10" t="s">
        <v>10</v>
      </c>
      <c r="F8" s="12" t="n">
        <f aca="false">Puja/ValorSubasta</f>
        <v>0.777006265495977</v>
      </c>
    </row>
    <row r="9" customFormat="false" ht="15" hidden="false" customHeight="false" outlineLevel="0" collapsed="false">
      <c r="B9" s="10" t="s">
        <v>11</v>
      </c>
      <c r="C9" s="11" t="n">
        <f aca="false">UmbralSetenta</f>
        <v>4954.915</v>
      </c>
      <c r="E9" s="10" t="s">
        <v>12</v>
      </c>
      <c r="F9" s="13" t="n">
        <f aca="false">ImpuestoAdq</f>
        <v>495.4915</v>
      </c>
    </row>
    <row r="10" customFormat="false" ht="15" hidden="false" customHeight="false" outlineLevel="0" collapsed="false">
      <c r="B10" s="10" t="s">
        <v>13</v>
      </c>
      <c r="C10" s="11" t="n">
        <f aca="false">UmbralCincuenta</f>
        <v>3539.225</v>
      </c>
      <c r="E10" s="10" t="s">
        <v>14</v>
      </c>
      <c r="F10" s="13" t="n">
        <f aca="false">CostesFijosAdq</f>
        <v>1020</v>
      </c>
    </row>
    <row r="11" customFormat="false" ht="15" hidden="false" customHeight="false" outlineLevel="0" collapsed="false">
      <c r="B11" s="10" t="s">
        <v>15</v>
      </c>
      <c r="C11" s="11" t="n">
        <f aca="false">CantidadReclamada</f>
        <v>10083.73</v>
      </c>
      <c r="E11" s="3" t="s">
        <v>16</v>
      </c>
      <c r="F11" s="9" t="n">
        <f aca="false">FlipInversion</f>
        <v>7082.15816666667</v>
      </c>
    </row>
    <row r="12" customFormat="false" ht="15" hidden="false" customHeight="false" outlineLevel="0" collapsed="false">
      <c r="B12" s="10" t="s">
        <v>17</v>
      </c>
      <c r="C12" s="11" t="n">
        <f aca="false">CargasAnteriores</f>
        <v>0</v>
      </c>
      <c r="E12" s="10" t="s">
        <v>18</v>
      </c>
      <c r="F12" s="13" t="n">
        <f aca="false">AlqInversion</f>
        <v>7042.15816666667</v>
      </c>
    </row>
    <row r="13" customFormat="false" ht="15" hidden="false" customHeight="false" outlineLevel="0" collapsed="false">
      <c r="B13" s="10" t="s">
        <v>19</v>
      </c>
      <c r="C13" s="14" t="str">
        <f aca="false">SupConstruida&amp;" / "&amp;SupUtil</f>
        <v>9.5 / 3.75</v>
      </c>
      <c r="E13" s="10" t="s">
        <v>20</v>
      </c>
      <c r="F13" s="13" t="n">
        <f aca="false">ImpactoIVA</f>
        <v>659.5085</v>
      </c>
    </row>
    <row r="14" customFormat="false" ht="15" hidden="false" customHeight="false" outlineLevel="0" collapsed="false">
      <c r="B14" s="10" t="s">
        <v>21</v>
      </c>
      <c r="C14" s="15" t="n">
        <f aca="false">FechaCierre</f>
        <v>46315</v>
      </c>
      <c r="E14" s="10" t="s">
        <v>22</v>
      </c>
      <c r="F14" s="14" t="str">
        <f aca="false">IF(Puja&gt;=UmbralSetenta,"Aprobación directa",IF(Puja&gt;=UmbralCincuenta,"Mejorable (10 + 5 días)","Decide el LAJ"))</f>
        <v>Aprobación directa</v>
      </c>
    </row>
    <row r="16" customFormat="false" ht="15" hidden="false" customHeight="false" outlineLevel="0" collapsed="false">
      <c r="B16" s="6" t="s">
        <v>23</v>
      </c>
      <c r="C16" s="7"/>
      <c r="E16" s="6" t="s">
        <v>24</v>
      </c>
      <c r="F16" s="7"/>
    </row>
    <row r="17" customFormat="false" ht="15" hidden="false" customHeight="false" outlineLevel="0" collapsed="false">
      <c r="B17" s="10" t="s">
        <v>25</v>
      </c>
      <c r="C17" s="13" t="n">
        <f aca="false">PrecioCierre</f>
        <v>9500</v>
      </c>
      <c r="E17" s="10" t="s">
        <v>26</v>
      </c>
      <c r="F17" s="13" t="n">
        <f aca="false">Renta</f>
        <v>45</v>
      </c>
    </row>
    <row r="18" customFormat="false" ht="15" hidden="false" customHeight="false" outlineLevel="0" collapsed="false">
      <c r="B18" s="10" t="s">
        <v>27</v>
      </c>
      <c r="C18" s="13" t="n">
        <f aca="false">FlipVentaNeta</f>
        <v>9085.15</v>
      </c>
      <c r="E18" s="10" t="s">
        <v>28</v>
      </c>
      <c r="F18" s="11" t="n">
        <f aca="false">RentaNeta</f>
        <v>37.1900826446281</v>
      </c>
    </row>
    <row r="19" customFormat="false" ht="15" hidden="false" customHeight="false" outlineLevel="0" collapsed="false">
      <c r="B19" s="3" t="s">
        <v>29</v>
      </c>
      <c r="C19" s="9" t="n">
        <f aca="false">FlipBAI</f>
        <v>2002.99183333333</v>
      </c>
      <c r="E19" s="10" t="s">
        <v>30</v>
      </c>
      <c r="F19" s="13" t="n">
        <f aca="false">AlqNOI</f>
        <v>242.36694214876</v>
      </c>
    </row>
    <row r="20" customFormat="false" ht="15" hidden="false" customHeight="false" outlineLevel="0" collapsed="false">
      <c r="B20" s="10" t="s">
        <v>31</v>
      </c>
      <c r="C20" s="13" t="n">
        <f aca="false">FlipNeto</f>
        <v>1622.423385</v>
      </c>
      <c r="E20" s="10" t="s">
        <v>32</v>
      </c>
      <c r="F20" s="12" t="n">
        <f aca="false">AlqRentBruta</f>
        <v>0.0633727589147262</v>
      </c>
    </row>
    <row r="21" customFormat="false" ht="15" hidden="false" customHeight="false" outlineLevel="0" collapsed="false">
      <c r="B21" s="3" t="s">
        <v>33</v>
      </c>
      <c r="C21" s="16" t="n">
        <f aca="false">FlipROI</f>
        <v>0.282822239520255</v>
      </c>
      <c r="E21" s="3" t="s">
        <v>34</v>
      </c>
      <c r="F21" s="16" t="n">
        <f aca="false">AlqRentNeta</f>
        <v>0.0344165717969783</v>
      </c>
    </row>
    <row r="22" customFormat="false" ht="15" hidden="false" customHeight="false" outlineLevel="0" collapsed="false">
      <c r="B22" s="10" t="s">
        <v>35</v>
      </c>
      <c r="C22" s="12" t="n">
        <f aca="false">FlipTIR</f>
        <v>0.582395004324587</v>
      </c>
      <c r="E22" s="3" t="s">
        <v>36</v>
      </c>
      <c r="F22" s="16" t="n">
        <f aca="false">AlqTIR</f>
        <v>0.0773648150111277</v>
      </c>
    </row>
    <row r="23" customFormat="false" ht="15" hidden="false" customHeight="false" outlineLevel="0" collapsed="false">
      <c r="B23" s="10" t="s">
        <v>37</v>
      </c>
      <c r="C23" s="17" t="n">
        <f aca="false">MesVenta</f>
        <v>8</v>
      </c>
      <c r="E23" s="10" t="s">
        <v>38</v>
      </c>
      <c r="F23" s="13" t="n">
        <f aca="false">AlqVAN</f>
        <v>1080.80730504639</v>
      </c>
    </row>
    <row r="25" customFormat="false" ht="15" hidden="false" customHeight="false" outlineLevel="0" collapsed="false">
      <c r="B25" s="6" t="s">
        <v>39</v>
      </c>
      <c r="C25" s="7"/>
      <c r="E25" s="6" t="s">
        <v>40</v>
      </c>
      <c r="F25" s="7"/>
    </row>
    <row r="26" customFormat="false" ht="15" hidden="false" customHeight="false" outlineLevel="0" collapsed="false">
      <c r="B26" s="10" t="s">
        <v>41</v>
      </c>
      <c r="C26" s="13" t="n">
        <f aca="false">PujaMinPrudente</f>
        <v>4955</v>
      </c>
      <c r="E26" s="10" t="s">
        <v>42</v>
      </c>
      <c r="F26" s="13" t="n">
        <f aca="false">EscBAI_P</f>
        <v>-2862.54666666667</v>
      </c>
    </row>
    <row r="27" customFormat="false" ht="15" hidden="false" customHeight="false" outlineLevel="0" collapsed="false">
      <c r="B27" s="3" t="s">
        <v>43</v>
      </c>
      <c r="C27" s="9" t="n">
        <f aca="false">PujaMaxFlip</f>
        <v>5988.80016666667</v>
      </c>
      <c r="E27" s="10"/>
      <c r="F27" s="12" t="n">
        <f aca="false">EscROI_P</f>
        <v>-0.282953542009885</v>
      </c>
    </row>
    <row r="28" customFormat="false" ht="15" hidden="false" customHeight="false" outlineLevel="0" collapsed="false">
      <c r="B28" s="10" t="s">
        <v>44</v>
      </c>
      <c r="C28" s="13" t="n">
        <f aca="false">PujaMaxAlq</f>
        <v>3305.18067630854</v>
      </c>
      <c r="E28" s="3" t="s">
        <v>45</v>
      </c>
      <c r="F28" s="9" t="n">
        <f aca="false">EscBAI_B</f>
        <v>2002.99183333333</v>
      </c>
    </row>
    <row r="29" customFormat="false" ht="15" hidden="false" customHeight="false" outlineLevel="0" collapsed="false">
      <c r="B29" s="10" t="s">
        <v>46</v>
      </c>
      <c r="C29" s="13" t="n">
        <f aca="false">PujaEquilibrio</f>
        <v>7475.21806853582</v>
      </c>
      <c r="E29" s="3"/>
      <c r="F29" s="16" t="n">
        <f aca="false">EscROI_B</f>
        <v>0.282822239520255</v>
      </c>
    </row>
    <row r="30" customFormat="false" ht="15" hidden="false" customHeight="false" outlineLevel="0" collapsed="false">
      <c r="B30" s="3" t="s">
        <v>47</v>
      </c>
      <c r="C30" s="9" t="n">
        <f aca="false">PujaMaxSel</f>
        <v>5988.80016666667</v>
      </c>
      <c r="E30" s="10" t="s">
        <v>48</v>
      </c>
      <c r="F30" s="13" t="n">
        <f aca="false">EscBAI_O</f>
        <v>4682.02183333333</v>
      </c>
    </row>
    <row r="31" customFormat="false" ht="15" hidden="false" customHeight="false" outlineLevel="0" collapsed="false">
      <c r="E31" s="10"/>
      <c r="F31" s="12" t="n">
        <f aca="false">EscROI_O</f>
        <v>0.751027116759336</v>
      </c>
    </row>
    <row r="33" customFormat="false" ht="15" hidden="false" customHeight="false" outlineLevel="0" collapsed="false">
      <c r="B33" s="6" t="s">
        <v>49</v>
      </c>
      <c r="C33" s="7"/>
      <c r="D33" s="7"/>
      <c r="E33" s="7"/>
      <c r="F33" s="7"/>
    </row>
    <row r="34" customFormat="false" ht="33.75" hidden="false" customHeight="true" outlineLevel="0" collapsed="false">
      <c r="B34" s="18" t="str">
        <f aca="false">IF(Puja&lt;UmbralSetenta,"ATENCIÓN: la puja es inferior al 70% del valor de subasta. La Comunidad ejecutante podría adjudicarse la plaza (art. 670.4 LEC).",IF(Puja&gt;PujaMaxSel,"NO RECOMENDADA: la puja supera la puja máxima y no alcanza la rentabilidad objetivo de la estrategia principal.","RECOMENDADA: la puja está entre el 70% del valor de subasta y la puja máxima de la estrategia principal."))</f>
        <v>RECOMENDADA: la puja está entre el 70% del valor de subasta y la puja máxima de la estrategia principal.</v>
      </c>
      <c r="C34" s="18"/>
      <c r="D34" s="18"/>
      <c r="E34" s="18"/>
      <c r="F34" s="18"/>
    </row>
    <row r="35" customFormat="false" ht="15" hidden="false" customHeight="false" outlineLevel="0" collapsed="false">
      <c r="B35" s="3" t="s">
        <v>50</v>
      </c>
      <c r="C35" s="19" t="n">
        <f aca="false">PujaMinPrudente</f>
        <v>4955</v>
      </c>
      <c r="D35" s="20" t="s">
        <v>51</v>
      </c>
      <c r="E35" s="21" t="n">
        <f aca="false">MAX(PujaMinPrudente,PujaMaxSel)</f>
        <v>5988.80016666667</v>
      </c>
      <c r="F35" s="5" t="str">
        <f aca="false">IF(PujaMaxSel&lt;PujaMinPrudente,"La puja máxima no llega al 70%: no pujar","")</f>
        <v/>
      </c>
    </row>
    <row r="36" customFormat="false" ht="15" hidden="false" customHeight="false" outlineLevel="0" collapsed="false">
      <c r="B36" s="3" t="s">
        <v>52</v>
      </c>
      <c r="C36" s="22" t="str">
        <f aca="false">IF(AND(FlipControl="OK",AlqControl="OK"),"OK","REVISAR")</f>
        <v>OK</v>
      </c>
    </row>
    <row r="38" customFormat="false" ht="15" hidden="false" customHeight="false" outlineLevel="0" collapsed="false">
      <c r="B38" s="6" t="s">
        <v>53</v>
      </c>
      <c r="C38" s="7"/>
      <c r="D38" s="7"/>
      <c r="E38" s="7"/>
      <c r="F38" s="7"/>
    </row>
    <row r="39" customFormat="false" ht="27.75" hidden="false" customHeight="true" outlineLevel="0" collapsed="false">
      <c r="B39" s="23" t="s">
        <v>54</v>
      </c>
      <c r="C39" s="23"/>
      <c r="D39" s="23"/>
      <c r="E39" s="23"/>
      <c r="F39" s="23"/>
    </row>
    <row r="40" customFormat="false" ht="27.75" hidden="false" customHeight="true" outlineLevel="0" collapsed="false">
      <c r="B40" s="23" t="s">
        <v>55</v>
      </c>
      <c r="C40" s="23"/>
      <c r="D40" s="23"/>
      <c r="E40" s="23"/>
      <c r="F40" s="23"/>
    </row>
    <row r="41" customFormat="false" ht="27.75" hidden="false" customHeight="true" outlineLevel="0" collapsed="false">
      <c r="B41" s="23" t="s">
        <v>56</v>
      </c>
      <c r="C41" s="23"/>
      <c r="D41" s="23"/>
      <c r="E41" s="23"/>
      <c r="F41" s="23"/>
    </row>
    <row r="42" customFormat="false" ht="27.75" hidden="false" customHeight="true" outlineLevel="0" collapsed="false">
      <c r="B42" s="23" t="s">
        <v>57</v>
      </c>
      <c r="C42" s="23"/>
      <c r="D42" s="23"/>
      <c r="E42" s="23"/>
      <c r="F42" s="23"/>
    </row>
    <row r="43" customFormat="false" ht="27.75" hidden="false" customHeight="true" outlineLevel="0" collapsed="false">
      <c r="B43" s="23" t="s">
        <v>58</v>
      </c>
      <c r="C43" s="23"/>
      <c r="D43" s="23"/>
      <c r="E43" s="23"/>
      <c r="F43" s="23"/>
    </row>
    <row r="45" customFormat="false" ht="15" hidden="false" customHeight="false" outlineLevel="0" collapsed="false">
      <c r="B45" s="5" t="s">
        <v>59</v>
      </c>
    </row>
  </sheetData>
  <mergeCells count="6">
    <mergeCell ref="B34:F34"/>
    <mergeCell ref="B39:F39"/>
    <mergeCell ref="B40:F40"/>
    <mergeCell ref="B41:F41"/>
    <mergeCell ref="B42:F42"/>
    <mergeCell ref="B43:F43"/>
  </mergeCells>
  <conditionalFormatting sqref="B34">
    <cfRule type="expression" priority="2" aboveAverage="0" equalAverage="0" bottom="0" percent="0" rank="0" text="" dxfId="0">
      <formula>LEFT($B$34,4)="RECO"</formula>
    </cfRule>
    <cfRule type="expression" priority="3" aboveAverage="0" equalAverage="0" bottom="0" percent="0" rank="0" text="" dxfId="1">
      <formula>LEFT($B$34,4)="ATEN"</formula>
    </cfRule>
    <cfRule type="expression" priority="4" aboveAverage="0" equalAverage="0" bottom="0" percent="0" rank="0" text="" dxfId="2">
      <formula>LEFT($B$34,2)="NO"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B2:E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78"/>
    <col collapsed="false" customWidth="true" hidden="false" outlineLevel="0" max="4" min="4" style="0" width="40"/>
    <col collapsed="false" customWidth="true" hidden="false" outlineLevel="0" max="5" min="5" style="0" width="14"/>
  </cols>
  <sheetData>
    <row r="2" customFormat="false" ht="19.7" hidden="false" customHeight="false" outlineLevel="0" collapsed="false">
      <c r="B2" s="1" t="s">
        <v>60</v>
      </c>
    </row>
    <row r="3" customFormat="false" ht="15" hidden="false" customHeight="false" outlineLevel="0" collapsed="false">
      <c r="B3" s="2" t="s">
        <v>61</v>
      </c>
    </row>
    <row r="5" customFormat="false" ht="15" hidden="false" customHeight="false" outlineLevel="0" collapsed="false">
      <c r="B5" s="24" t="s">
        <v>62</v>
      </c>
      <c r="C5" s="24" t="s">
        <v>63</v>
      </c>
      <c r="D5" s="24" t="s">
        <v>64</v>
      </c>
      <c r="E5" s="24" t="s">
        <v>65</v>
      </c>
    </row>
    <row r="6" customFormat="false" ht="15" hidden="false" customHeight="false" outlineLevel="0" collapsed="false">
      <c r="B6" s="6" t="s">
        <v>66</v>
      </c>
      <c r="C6" s="7"/>
      <c r="D6" s="7"/>
      <c r="E6" s="7"/>
    </row>
    <row r="7" customFormat="false" ht="15" hidden="false" customHeight="false" outlineLevel="0" collapsed="false">
      <c r="B7" s="10" t="s">
        <v>67</v>
      </c>
      <c r="C7" s="25" t="s">
        <v>68</v>
      </c>
      <c r="D7" s="26" t="s">
        <v>69</v>
      </c>
      <c r="E7" s="27" t="s">
        <v>70</v>
      </c>
    </row>
    <row r="8" customFormat="false" ht="15" hidden="false" customHeight="false" outlineLevel="0" collapsed="false">
      <c r="B8" s="10" t="s">
        <v>71</v>
      </c>
      <c r="C8" s="25" t="s">
        <v>72</v>
      </c>
      <c r="D8" s="26" t="s">
        <v>73</v>
      </c>
      <c r="E8" s="27" t="s">
        <v>70</v>
      </c>
    </row>
    <row r="9" customFormat="false" ht="15" hidden="false" customHeight="false" outlineLevel="0" collapsed="false">
      <c r="B9" s="10" t="s">
        <v>74</v>
      </c>
      <c r="C9" s="25" t="s">
        <v>75</v>
      </c>
      <c r="D9" s="26" t="s">
        <v>76</v>
      </c>
      <c r="E9" s="27" t="s">
        <v>70</v>
      </c>
    </row>
    <row r="10" customFormat="false" ht="15" hidden="false" customHeight="false" outlineLevel="0" collapsed="false">
      <c r="B10" s="10" t="s">
        <v>77</v>
      </c>
      <c r="C10" s="25" t="s">
        <v>78</v>
      </c>
      <c r="D10" s="26" t="s">
        <v>76</v>
      </c>
      <c r="E10" s="27" t="s">
        <v>70</v>
      </c>
    </row>
    <row r="11" customFormat="false" ht="15" hidden="false" customHeight="false" outlineLevel="0" collapsed="false">
      <c r="B11" s="10" t="s">
        <v>79</v>
      </c>
      <c r="C11" s="25" t="s">
        <v>80</v>
      </c>
      <c r="D11" s="26" t="s">
        <v>76</v>
      </c>
      <c r="E11" s="27" t="s">
        <v>70</v>
      </c>
    </row>
    <row r="12" customFormat="false" ht="15" hidden="false" customHeight="false" outlineLevel="0" collapsed="false">
      <c r="B12" s="10" t="s">
        <v>81</v>
      </c>
      <c r="C12" s="25" t="s">
        <v>82</v>
      </c>
      <c r="D12" s="26" t="s">
        <v>83</v>
      </c>
      <c r="E12" s="27" t="s">
        <v>70</v>
      </c>
    </row>
    <row r="13" customFormat="false" ht="15" hidden="false" customHeight="false" outlineLevel="0" collapsed="false">
      <c r="B13" s="10" t="s">
        <v>84</v>
      </c>
      <c r="C13" s="28" t="n">
        <v>45824</v>
      </c>
      <c r="D13" s="26" t="s">
        <v>76</v>
      </c>
      <c r="E13" s="27" t="s">
        <v>70</v>
      </c>
    </row>
    <row r="14" customFormat="false" ht="15" hidden="false" customHeight="false" outlineLevel="0" collapsed="false">
      <c r="B14" s="10" t="s">
        <v>85</v>
      </c>
      <c r="C14" s="29" t="n">
        <f aca="false">FechaCierre</f>
        <v>46315</v>
      </c>
      <c r="D14" s="26" t="s">
        <v>86</v>
      </c>
      <c r="E14" s="30" t="s">
        <v>87</v>
      </c>
    </row>
    <row r="15" customFormat="false" ht="15" hidden="false" customHeight="false" outlineLevel="0" collapsed="false">
      <c r="B15" s="10" t="s">
        <v>88</v>
      </c>
      <c r="C15" s="25" t="s">
        <v>89</v>
      </c>
      <c r="D15" s="26" t="s">
        <v>76</v>
      </c>
      <c r="E15" s="27" t="s">
        <v>70</v>
      </c>
    </row>
    <row r="16" customFormat="false" ht="15" hidden="false" customHeight="false" outlineLevel="0" collapsed="false">
      <c r="B16" s="6" t="s">
        <v>90</v>
      </c>
      <c r="C16" s="7"/>
      <c r="D16" s="7"/>
      <c r="E16" s="7"/>
    </row>
    <row r="17" customFormat="false" ht="15" hidden="false" customHeight="false" outlineLevel="0" collapsed="false">
      <c r="B17" s="10" t="s">
        <v>91</v>
      </c>
      <c r="C17" s="31" t="n">
        <v>5130.01</v>
      </c>
      <c r="D17" s="26" t="s">
        <v>92</v>
      </c>
      <c r="E17" s="27" t="s">
        <v>70</v>
      </c>
    </row>
    <row r="18" customFormat="false" ht="15" hidden="false" customHeight="false" outlineLevel="0" collapsed="false">
      <c r="B18" s="10" t="s">
        <v>93</v>
      </c>
      <c r="C18" s="31" t="n">
        <v>4953.72</v>
      </c>
      <c r="D18" s="26" t="s">
        <v>76</v>
      </c>
      <c r="E18" s="27" t="s">
        <v>70</v>
      </c>
    </row>
    <row r="19" customFormat="false" ht="15" hidden="false" customHeight="false" outlineLevel="0" collapsed="false">
      <c r="B19" s="10" t="s">
        <v>94</v>
      </c>
      <c r="C19" s="32" t="n">
        <f aca="false">C17+C18</f>
        <v>10083.73</v>
      </c>
      <c r="D19" s="26" t="s">
        <v>95</v>
      </c>
      <c r="E19" s="33"/>
    </row>
    <row r="20" customFormat="false" ht="15" hidden="false" customHeight="false" outlineLevel="0" collapsed="false">
      <c r="B20" s="10" t="s">
        <v>96</v>
      </c>
      <c r="C20" s="25" t="s">
        <v>97</v>
      </c>
      <c r="D20" s="26" t="s">
        <v>98</v>
      </c>
      <c r="E20" s="27" t="s">
        <v>70</v>
      </c>
    </row>
    <row r="21" customFormat="false" ht="15" hidden="false" customHeight="false" outlineLevel="0" collapsed="false">
      <c r="B21" s="10" t="s">
        <v>99</v>
      </c>
      <c r="C21" s="25" t="s">
        <v>100</v>
      </c>
      <c r="D21" s="26" t="s">
        <v>101</v>
      </c>
      <c r="E21" s="27" t="s">
        <v>70</v>
      </c>
    </row>
    <row r="22" customFormat="false" ht="15" hidden="false" customHeight="false" outlineLevel="0" collapsed="false">
      <c r="B22" s="6" t="s">
        <v>102</v>
      </c>
      <c r="C22" s="7"/>
      <c r="D22" s="7"/>
      <c r="E22" s="7"/>
    </row>
    <row r="23" customFormat="false" ht="15" hidden="false" customHeight="false" outlineLevel="0" collapsed="false">
      <c r="B23" s="10" t="s">
        <v>103</v>
      </c>
      <c r="C23" s="25" t="s">
        <v>104</v>
      </c>
      <c r="D23" s="26" t="s">
        <v>105</v>
      </c>
      <c r="E23" s="27" t="s">
        <v>70</v>
      </c>
    </row>
    <row r="24" customFormat="false" ht="15" hidden="false" customHeight="false" outlineLevel="0" collapsed="false">
      <c r="B24" s="10" t="s">
        <v>106</v>
      </c>
      <c r="C24" s="25" t="s">
        <v>107</v>
      </c>
      <c r="D24" s="26" t="s">
        <v>101</v>
      </c>
      <c r="E24" s="27" t="s">
        <v>70</v>
      </c>
    </row>
    <row r="25" customFormat="false" ht="15" hidden="false" customHeight="false" outlineLevel="0" collapsed="false">
      <c r="B25" s="10" t="s">
        <v>108</v>
      </c>
      <c r="C25" s="25" t="s">
        <v>109</v>
      </c>
      <c r="D25" s="26" t="s">
        <v>110</v>
      </c>
      <c r="E25" s="33" t="s">
        <v>111</v>
      </c>
    </row>
    <row r="26" customFormat="false" ht="15" hidden="false" customHeight="false" outlineLevel="0" collapsed="false">
      <c r="B26" s="10" t="s">
        <v>112</v>
      </c>
      <c r="C26" s="34" t="n">
        <v>9.5</v>
      </c>
      <c r="D26" s="26" t="s">
        <v>98</v>
      </c>
      <c r="E26" s="27" t="s">
        <v>70</v>
      </c>
    </row>
    <row r="27" customFormat="false" ht="15" hidden="false" customHeight="false" outlineLevel="0" collapsed="false">
      <c r="B27" s="10" t="s">
        <v>113</v>
      </c>
      <c r="C27" s="34" t="n">
        <v>3.75</v>
      </c>
      <c r="D27" s="26" t="s">
        <v>114</v>
      </c>
      <c r="E27" s="27" t="s">
        <v>70</v>
      </c>
    </row>
    <row r="28" customFormat="false" ht="23.85" hidden="false" customHeight="false" outlineLevel="0" collapsed="false">
      <c r="B28" s="10" t="s">
        <v>115</v>
      </c>
      <c r="C28" s="25" t="s">
        <v>116</v>
      </c>
      <c r="D28" s="26" t="s">
        <v>101</v>
      </c>
      <c r="E28" s="27" t="s">
        <v>70</v>
      </c>
    </row>
    <row r="29" customFormat="false" ht="15" hidden="false" customHeight="false" outlineLevel="0" collapsed="false">
      <c r="B29" s="10" t="s">
        <v>117</v>
      </c>
      <c r="C29" s="35" t="n">
        <v>0.00562</v>
      </c>
      <c r="D29" s="26" t="s">
        <v>101</v>
      </c>
      <c r="E29" s="27" t="s">
        <v>70</v>
      </c>
    </row>
    <row r="30" customFormat="false" ht="15" hidden="false" customHeight="false" outlineLevel="0" collapsed="false">
      <c r="B30" s="10" t="s">
        <v>118</v>
      </c>
      <c r="C30" s="25" t="s">
        <v>119</v>
      </c>
      <c r="D30" s="26" t="s">
        <v>101</v>
      </c>
      <c r="E30" s="27" t="s">
        <v>70</v>
      </c>
    </row>
    <row r="31" customFormat="false" ht="15" hidden="false" customHeight="false" outlineLevel="0" collapsed="false">
      <c r="B31" s="10" t="s">
        <v>120</v>
      </c>
      <c r="C31" s="25" t="s">
        <v>121</v>
      </c>
      <c r="D31" s="26" t="s">
        <v>101</v>
      </c>
      <c r="E31" s="27" t="s">
        <v>70</v>
      </c>
    </row>
    <row r="32" customFormat="false" ht="15" hidden="false" customHeight="false" outlineLevel="0" collapsed="false">
      <c r="B32" s="10" t="s">
        <v>122</v>
      </c>
      <c r="C32" s="25" t="s">
        <v>123</v>
      </c>
      <c r="D32" s="26" t="s">
        <v>101</v>
      </c>
      <c r="E32" s="27" t="s">
        <v>70</v>
      </c>
    </row>
    <row r="33" customFormat="false" ht="15" hidden="false" customHeight="false" outlineLevel="0" collapsed="false">
      <c r="B33" s="10" t="s">
        <v>124</v>
      </c>
      <c r="C33" s="36" t="s">
        <v>125</v>
      </c>
      <c r="D33" s="26" t="s">
        <v>126</v>
      </c>
      <c r="E33" s="30" t="s">
        <v>87</v>
      </c>
    </row>
    <row r="34" customFormat="false" ht="15" hidden="false" customHeight="false" outlineLevel="0" collapsed="false">
      <c r="B34" s="6" t="s">
        <v>127</v>
      </c>
      <c r="C34" s="7"/>
      <c r="D34" s="7"/>
      <c r="E34" s="7"/>
    </row>
    <row r="35" customFormat="false" ht="15" hidden="false" customHeight="false" outlineLevel="0" collapsed="false">
      <c r="B35" s="10" t="s">
        <v>128</v>
      </c>
      <c r="C35" s="31" t="n">
        <v>7078.45</v>
      </c>
      <c r="D35" s="26" t="s">
        <v>129</v>
      </c>
      <c r="E35" s="27" t="s">
        <v>70</v>
      </c>
    </row>
    <row r="36" customFormat="false" ht="15" hidden="false" customHeight="false" outlineLevel="0" collapsed="false">
      <c r="B36" s="10" t="s">
        <v>130</v>
      </c>
      <c r="C36" s="31" t="n">
        <v>0</v>
      </c>
      <c r="D36" s="26" t="s">
        <v>131</v>
      </c>
      <c r="E36" s="27" t="s">
        <v>70</v>
      </c>
    </row>
    <row r="37" customFormat="false" ht="15" hidden="false" customHeight="false" outlineLevel="0" collapsed="false">
      <c r="B37" s="10" t="s">
        <v>132</v>
      </c>
      <c r="C37" s="31" t="n">
        <v>7078.45</v>
      </c>
      <c r="D37" s="26" t="s">
        <v>133</v>
      </c>
      <c r="E37" s="27" t="s">
        <v>70</v>
      </c>
    </row>
    <row r="38" customFormat="false" ht="15" hidden="false" customHeight="false" outlineLevel="0" collapsed="false">
      <c r="B38" s="10" t="s">
        <v>134</v>
      </c>
      <c r="C38" s="37" t="n">
        <f aca="false">C37/C26</f>
        <v>745.1</v>
      </c>
      <c r="D38" s="26" t="s">
        <v>95</v>
      </c>
      <c r="E38" s="33"/>
    </row>
    <row r="39" customFormat="false" ht="15" hidden="false" customHeight="false" outlineLevel="0" collapsed="false">
      <c r="B39" s="10" t="s">
        <v>9</v>
      </c>
      <c r="C39" s="38" t="n">
        <f aca="false">Deposito</f>
        <v>353.9225</v>
      </c>
      <c r="D39" s="26" t="s">
        <v>135</v>
      </c>
      <c r="E39" s="33" t="s">
        <v>136</v>
      </c>
    </row>
    <row r="40" customFormat="false" ht="15" hidden="false" customHeight="false" outlineLevel="0" collapsed="false">
      <c r="B40" s="10" t="s">
        <v>137</v>
      </c>
      <c r="C40" s="38" t="n">
        <f aca="false">UmbralSetenta</f>
        <v>4954.915</v>
      </c>
      <c r="D40" s="26" t="s">
        <v>138</v>
      </c>
      <c r="E40" s="33" t="s">
        <v>136</v>
      </c>
    </row>
    <row r="41" customFormat="false" ht="15" hidden="false" customHeight="false" outlineLevel="0" collapsed="false">
      <c r="B41" s="10" t="s">
        <v>139</v>
      </c>
      <c r="C41" s="38" t="n">
        <f aca="false">UmbralCincuenta</f>
        <v>3539.225</v>
      </c>
      <c r="D41" s="26" t="s">
        <v>140</v>
      </c>
      <c r="E41" s="33" t="s">
        <v>136</v>
      </c>
    </row>
    <row r="42" customFormat="false" ht="15" hidden="false" customHeight="false" outlineLevel="0" collapsed="false">
      <c r="B42" s="10" t="s">
        <v>141</v>
      </c>
      <c r="C42" s="25" t="s">
        <v>142</v>
      </c>
      <c r="D42" s="26" t="s">
        <v>143</v>
      </c>
      <c r="E42" s="27" t="s">
        <v>70</v>
      </c>
    </row>
    <row r="43" customFormat="false" ht="15" hidden="false" customHeight="false" outlineLevel="0" collapsed="false">
      <c r="B43" s="10" t="s">
        <v>144</v>
      </c>
      <c r="C43" s="36" t="s">
        <v>145</v>
      </c>
      <c r="D43" s="26" t="s">
        <v>146</v>
      </c>
      <c r="E43" s="30" t="s">
        <v>87</v>
      </c>
    </row>
    <row r="44" customFormat="false" ht="15" hidden="false" customHeight="false" outlineLevel="0" collapsed="false">
      <c r="B44" s="10" t="s">
        <v>147</v>
      </c>
      <c r="C44" s="25" t="s">
        <v>148</v>
      </c>
      <c r="D44" s="26" t="s">
        <v>149</v>
      </c>
      <c r="E44" s="27" t="s">
        <v>70</v>
      </c>
    </row>
    <row r="45" customFormat="false" ht="15" hidden="false" customHeight="false" outlineLevel="0" collapsed="false">
      <c r="B45" s="10" t="s">
        <v>150</v>
      </c>
      <c r="C45" s="25" t="s">
        <v>151</v>
      </c>
      <c r="D45" s="26" t="s">
        <v>76</v>
      </c>
      <c r="E45" s="27" t="s">
        <v>70</v>
      </c>
    </row>
    <row r="46" customFormat="false" ht="15" hidden="false" customHeight="false" outlineLevel="0" collapsed="false">
      <c r="B46" s="6" t="s">
        <v>152</v>
      </c>
      <c r="C46" s="7"/>
      <c r="D46" s="7"/>
      <c r="E46" s="7"/>
    </row>
    <row r="47" customFormat="false" ht="23.85" hidden="false" customHeight="false" outlineLevel="0" collapsed="false">
      <c r="B47" s="10" t="s">
        <v>153</v>
      </c>
      <c r="C47" s="25" t="s">
        <v>154</v>
      </c>
      <c r="D47" s="26" t="s">
        <v>101</v>
      </c>
      <c r="E47" s="27" t="s">
        <v>70</v>
      </c>
    </row>
    <row r="48" customFormat="false" ht="15" hidden="false" customHeight="false" outlineLevel="0" collapsed="false">
      <c r="B48" s="10" t="s">
        <v>155</v>
      </c>
      <c r="C48" s="25" t="s">
        <v>156</v>
      </c>
      <c r="D48" s="26" t="s">
        <v>101</v>
      </c>
      <c r="E48" s="27" t="s">
        <v>70</v>
      </c>
    </row>
    <row r="49" customFormat="false" ht="15" hidden="false" customHeight="false" outlineLevel="0" collapsed="false">
      <c r="B49" s="10" t="s">
        <v>157</v>
      </c>
      <c r="C49" s="28" t="n">
        <v>45009</v>
      </c>
      <c r="D49" s="26" t="s">
        <v>101</v>
      </c>
      <c r="E49" s="33" t="s">
        <v>158</v>
      </c>
    </row>
    <row r="50" customFormat="false" ht="15" hidden="false" customHeight="false" outlineLevel="0" collapsed="false">
      <c r="B50" s="10" t="s">
        <v>159</v>
      </c>
      <c r="C50" s="36" t="s">
        <v>160</v>
      </c>
      <c r="D50" s="26" t="s">
        <v>76</v>
      </c>
      <c r="E50" s="30" t="s">
        <v>87</v>
      </c>
    </row>
    <row r="51" customFormat="false" ht="15" hidden="false" customHeight="false" outlineLevel="0" collapsed="false">
      <c r="B51" s="10" t="s">
        <v>161</v>
      </c>
      <c r="C51" s="25" t="s">
        <v>162</v>
      </c>
      <c r="D51" s="26" t="s">
        <v>76</v>
      </c>
      <c r="E51" s="27" t="s">
        <v>70</v>
      </c>
    </row>
    <row r="52" customFormat="false" ht="15" hidden="false" customHeight="false" outlineLevel="0" collapsed="false">
      <c r="B52" s="10" t="s">
        <v>163</v>
      </c>
      <c r="C52" s="25" t="s">
        <v>164</v>
      </c>
      <c r="D52" s="26" t="s">
        <v>76</v>
      </c>
      <c r="E52" s="33" t="s">
        <v>165</v>
      </c>
    </row>
    <row r="53" customFormat="false" ht="15" hidden="false" customHeight="false" outlineLevel="0" collapsed="false">
      <c r="B53" s="6" t="s">
        <v>166</v>
      </c>
      <c r="C53" s="7"/>
      <c r="D53" s="7"/>
      <c r="E53" s="7"/>
    </row>
    <row r="54" customFormat="false" ht="15" hidden="false" customHeight="false" outlineLevel="0" collapsed="false">
      <c r="B54" s="10" t="s">
        <v>167</v>
      </c>
      <c r="C54" s="25" t="s">
        <v>168</v>
      </c>
      <c r="D54" s="26" t="s">
        <v>169</v>
      </c>
      <c r="E54" s="27" t="s">
        <v>170</v>
      </c>
    </row>
    <row r="55" customFormat="false" ht="23.85" hidden="false" customHeight="false" outlineLevel="0" collapsed="false">
      <c r="B55" s="10" t="s">
        <v>171</v>
      </c>
      <c r="C55" s="25" t="s">
        <v>172</v>
      </c>
      <c r="D55" s="26" t="s">
        <v>169</v>
      </c>
      <c r="E55" s="27" t="s">
        <v>170</v>
      </c>
    </row>
    <row r="56" customFormat="false" ht="15" hidden="false" customHeight="false" outlineLevel="0" collapsed="false">
      <c r="B56" s="10" t="s">
        <v>173</v>
      </c>
      <c r="C56" s="25" t="s">
        <v>174</v>
      </c>
      <c r="D56" s="26" t="s">
        <v>175</v>
      </c>
      <c r="E56" s="30" t="s">
        <v>176</v>
      </c>
    </row>
    <row r="57" customFormat="false" ht="15" hidden="false" customHeight="false" outlineLevel="0" collapsed="false">
      <c r="B57" s="10" t="s">
        <v>177</v>
      </c>
      <c r="C57" s="25" t="s">
        <v>178</v>
      </c>
      <c r="D57" s="26" t="s">
        <v>169</v>
      </c>
      <c r="E57" s="27" t="s">
        <v>170</v>
      </c>
    </row>
    <row r="58" customFormat="false" ht="15" hidden="false" customHeight="false" outlineLevel="0" collapsed="false">
      <c r="B58" s="10" t="s">
        <v>179</v>
      </c>
      <c r="C58" s="25" t="s">
        <v>180</v>
      </c>
      <c r="D58" s="26" t="s">
        <v>169</v>
      </c>
      <c r="E58" s="27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B2:H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8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9"/>
    <col collapsed="false" customWidth="true" hidden="false" outlineLevel="0" max="8" min="8" style="0" width="95"/>
  </cols>
  <sheetData>
    <row r="2" customFormat="false" ht="19.7" hidden="false" customHeight="false" outlineLevel="0" collapsed="false">
      <c r="B2" s="1" t="s">
        <v>181</v>
      </c>
    </row>
    <row r="3" customFormat="false" ht="15" hidden="false" customHeight="false" outlineLevel="0" collapsed="false">
      <c r="B3" s="2" t="s">
        <v>182</v>
      </c>
    </row>
    <row r="4" customFormat="false" ht="15" hidden="false" customHeight="false" outlineLevel="0" collapsed="false">
      <c r="B4" s="3" t="s">
        <v>183</v>
      </c>
      <c r="C4" s="39" t="s">
        <v>184</v>
      </c>
      <c r="D4" s="40" t="s">
        <v>185</v>
      </c>
      <c r="E4" s="41" t="s">
        <v>186</v>
      </c>
      <c r="F4" s="42" t="s">
        <v>187</v>
      </c>
      <c r="H4" s="5" t="s">
        <v>188</v>
      </c>
    </row>
    <row r="6" customFormat="false" ht="15" hidden="false" customHeight="false" outlineLevel="0" collapsed="false">
      <c r="B6" s="6" t="s">
        <v>189</v>
      </c>
      <c r="C6" s="7"/>
      <c r="D6" s="7"/>
      <c r="E6" s="7"/>
      <c r="F6" s="7"/>
      <c r="G6" s="7"/>
      <c r="H6" s="7"/>
    </row>
    <row r="7" customFormat="false" ht="15" hidden="false" customHeight="false" outlineLevel="0" collapsed="false">
      <c r="B7" s="10" t="s">
        <v>190</v>
      </c>
      <c r="F7" s="43" t="n">
        <v>2</v>
      </c>
      <c r="G7" s="10" t="s">
        <v>191</v>
      </c>
      <c r="H7" s="5" t="s">
        <v>192</v>
      </c>
    </row>
    <row r="8" customFormat="false" ht="15" hidden="false" customHeight="false" outlineLevel="0" collapsed="false">
      <c r="B8" s="10" t="s">
        <v>193</v>
      </c>
      <c r="F8" s="40" t="str">
        <f aca="false">CHOOSE(Escenario,"Pesimista","Base","Optimista")</f>
        <v>Base</v>
      </c>
      <c r="G8" s="10"/>
      <c r="H8" s="5"/>
    </row>
    <row r="9" customFormat="false" ht="15" hidden="false" customHeight="false" outlineLevel="0" collapsed="false">
      <c r="B9" s="10" t="s">
        <v>194</v>
      </c>
      <c r="F9" s="43" t="n">
        <v>1</v>
      </c>
      <c r="G9" s="10" t="s">
        <v>191</v>
      </c>
      <c r="H9" s="5" t="s">
        <v>195</v>
      </c>
    </row>
    <row r="10" customFormat="false" ht="15" hidden="false" customHeight="false" outlineLevel="0" collapsed="false">
      <c r="B10" s="10" t="s">
        <v>196</v>
      </c>
      <c r="F10" s="40" t="str">
        <f aca="false">CHOOSE(Estrategia,"Compraventa (reventa)","Alquiler (patrimonial)")</f>
        <v>Compraventa (reventa)</v>
      </c>
      <c r="G10" s="10"/>
      <c r="H10" s="5"/>
    </row>
    <row r="12" customFormat="false" ht="15" hidden="false" customHeight="false" outlineLevel="0" collapsed="false">
      <c r="B12" s="6" t="s">
        <v>197</v>
      </c>
      <c r="C12" s="7"/>
      <c r="D12" s="7"/>
      <c r="E12" s="7"/>
      <c r="F12" s="7"/>
      <c r="G12" s="7"/>
      <c r="H12" s="7"/>
    </row>
    <row r="13" customFormat="false" ht="15" hidden="false" customHeight="false" outlineLevel="0" collapsed="false">
      <c r="B13" s="24" t="s">
        <v>198</v>
      </c>
      <c r="C13" s="24" t="s">
        <v>199</v>
      </c>
      <c r="D13" s="24" t="s">
        <v>200</v>
      </c>
      <c r="E13" s="24" t="s">
        <v>201</v>
      </c>
      <c r="F13" s="24" t="s">
        <v>202</v>
      </c>
      <c r="G13" s="24" t="s">
        <v>203</v>
      </c>
      <c r="H13" s="24" t="s">
        <v>204</v>
      </c>
    </row>
    <row r="14" customFormat="false" ht="15" hidden="false" customHeight="false" outlineLevel="0" collapsed="false">
      <c r="B14" s="10" t="s">
        <v>8</v>
      </c>
      <c r="C14" s="44" t="n">
        <v>6500</v>
      </c>
      <c r="D14" s="45" t="n">
        <v>5500</v>
      </c>
      <c r="E14" s="44" t="n">
        <v>5000</v>
      </c>
      <c r="F14" s="46" t="n">
        <f aca="false">INDEX(C14:E14,Escenario)</f>
        <v>5500</v>
      </c>
      <c r="G14" s="10" t="s">
        <v>205</v>
      </c>
      <c r="H14" s="5" t="s">
        <v>206</v>
      </c>
    </row>
    <row r="15" customFormat="false" ht="15" hidden="false" customHeight="false" outlineLevel="0" collapsed="false">
      <c r="B15" s="10" t="s">
        <v>207</v>
      </c>
      <c r="C15" s="44" t="n">
        <v>8000</v>
      </c>
      <c r="D15" s="45" t="n">
        <v>10000</v>
      </c>
      <c r="E15" s="44" t="n">
        <v>12000</v>
      </c>
      <c r="F15" s="46" t="n">
        <f aca="false">INDEX(C15:E15,Escenario)</f>
        <v>10000</v>
      </c>
      <c r="G15" s="10" t="s">
        <v>205</v>
      </c>
      <c r="H15" s="5" t="s">
        <v>208</v>
      </c>
    </row>
    <row r="16" customFormat="false" ht="15" hidden="false" customHeight="false" outlineLevel="0" collapsed="false">
      <c r="B16" s="10" t="s">
        <v>209</v>
      </c>
      <c r="C16" s="44" t="n">
        <v>35</v>
      </c>
      <c r="D16" s="45" t="n">
        <v>45</v>
      </c>
      <c r="E16" s="44" t="n">
        <v>50</v>
      </c>
      <c r="F16" s="46" t="n">
        <f aca="false">INDEX(C16:E16,Escenario)</f>
        <v>45</v>
      </c>
      <c r="G16" s="10" t="s">
        <v>210</v>
      </c>
      <c r="H16" s="5" t="s">
        <v>211</v>
      </c>
    </row>
    <row r="17" customFormat="false" ht="15" hidden="false" customHeight="false" outlineLevel="0" collapsed="false">
      <c r="B17" s="10" t="s">
        <v>212</v>
      </c>
      <c r="C17" s="47" t="n">
        <v>6</v>
      </c>
      <c r="D17" s="43" t="n">
        <v>4</v>
      </c>
      <c r="E17" s="47" t="n">
        <v>3</v>
      </c>
      <c r="F17" s="48" t="n">
        <f aca="false">INDEX(C17:E17,Escenario)</f>
        <v>4</v>
      </c>
      <c r="G17" s="10" t="s">
        <v>213</v>
      </c>
      <c r="H17" s="5" t="s">
        <v>214</v>
      </c>
    </row>
    <row r="18" customFormat="false" ht="15" hidden="false" customHeight="false" outlineLevel="0" collapsed="false">
      <c r="B18" s="10" t="s">
        <v>215</v>
      </c>
      <c r="C18" s="44" t="n">
        <v>800</v>
      </c>
      <c r="D18" s="45" t="n">
        <v>100</v>
      </c>
      <c r="E18" s="44" t="n">
        <v>60</v>
      </c>
      <c r="F18" s="46" t="n">
        <f aca="false">INDEX(C18:E18,Escenario)</f>
        <v>100</v>
      </c>
      <c r="G18" s="10" t="s">
        <v>205</v>
      </c>
      <c r="H18" s="5" t="s">
        <v>216</v>
      </c>
    </row>
    <row r="19" customFormat="false" ht="15" hidden="false" customHeight="false" outlineLevel="0" collapsed="false">
      <c r="B19" s="10" t="s">
        <v>217</v>
      </c>
      <c r="C19" s="44" t="n">
        <v>15</v>
      </c>
      <c r="D19" s="45" t="n">
        <v>10</v>
      </c>
      <c r="E19" s="44" t="n">
        <v>8</v>
      </c>
      <c r="F19" s="46" t="n">
        <f aca="false">INDEX(C19:E19,Escenario)</f>
        <v>10</v>
      </c>
      <c r="G19" s="10" t="s">
        <v>210</v>
      </c>
      <c r="H19" s="5" t="s">
        <v>218</v>
      </c>
    </row>
    <row r="20" customFormat="false" ht="15" hidden="false" customHeight="false" outlineLevel="0" collapsed="false">
      <c r="B20" s="10" t="s">
        <v>219</v>
      </c>
      <c r="C20" s="47" t="n">
        <v>46</v>
      </c>
      <c r="D20" s="43" t="n">
        <v>36</v>
      </c>
      <c r="E20" s="47" t="n">
        <v>12</v>
      </c>
      <c r="F20" s="48" t="n">
        <f aca="false">INDEX(C20:E20,Escenario)</f>
        <v>36</v>
      </c>
      <c r="G20" s="10" t="s">
        <v>220</v>
      </c>
      <c r="H20" s="5" t="s">
        <v>221</v>
      </c>
    </row>
    <row r="21" customFormat="false" ht="15" hidden="false" customHeight="false" outlineLevel="0" collapsed="false">
      <c r="B21" s="10" t="s">
        <v>222</v>
      </c>
      <c r="C21" s="47" t="n">
        <v>8</v>
      </c>
      <c r="D21" s="43" t="n">
        <v>4</v>
      </c>
      <c r="E21" s="47" t="n">
        <v>2</v>
      </c>
      <c r="F21" s="48" t="n">
        <f aca="false">INDEX(C21:E21,Escenario)</f>
        <v>4</v>
      </c>
      <c r="G21" s="10" t="s">
        <v>220</v>
      </c>
      <c r="H21" s="5" t="s">
        <v>223</v>
      </c>
    </row>
    <row r="22" customFormat="false" ht="15" hidden="false" customHeight="false" outlineLevel="0" collapsed="false">
      <c r="B22" s="10" t="s">
        <v>224</v>
      </c>
      <c r="C22" s="47" t="n">
        <v>2</v>
      </c>
      <c r="D22" s="43" t="n">
        <v>1</v>
      </c>
      <c r="E22" s="47" t="n">
        <v>1</v>
      </c>
      <c r="F22" s="48" t="n">
        <f aca="false">INDEX(C22:E22,Escenario)</f>
        <v>1</v>
      </c>
      <c r="G22" s="10" t="s">
        <v>191</v>
      </c>
      <c r="H22" s="5" t="s">
        <v>225</v>
      </c>
    </row>
    <row r="24" customFormat="false" ht="15" hidden="false" customHeight="false" outlineLevel="0" collapsed="false">
      <c r="B24" s="6" t="s">
        <v>226</v>
      </c>
      <c r="C24" s="7"/>
      <c r="D24" s="7"/>
      <c r="E24" s="7"/>
      <c r="F24" s="7"/>
      <c r="G24" s="7"/>
      <c r="H24" s="7"/>
    </row>
    <row r="25" customFormat="false" ht="15" hidden="false" customHeight="false" outlineLevel="0" collapsed="false">
      <c r="B25" s="10" t="s">
        <v>132</v>
      </c>
      <c r="F25" s="49" t="n">
        <f aca="false">Subasta!C37</f>
        <v>7078.45</v>
      </c>
      <c r="G25" s="10" t="s">
        <v>205</v>
      </c>
      <c r="H25" s="5" t="s">
        <v>227</v>
      </c>
    </row>
    <row r="26" customFormat="false" ht="15" hidden="false" customHeight="false" outlineLevel="0" collapsed="false">
      <c r="B26" s="10" t="s">
        <v>228</v>
      </c>
      <c r="F26" s="50" t="n">
        <v>0.05</v>
      </c>
      <c r="G26" s="10" t="s">
        <v>229</v>
      </c>
      <c r="H26" s="5" t="s">
        <v>230</v>
      </c>
    </row>
    <row r="27" customFormat="false" ht="15" hidden="false" customHeight="false" outlineLevel="0" collapsed="false">
      <c r="B27" s="10" t="s">
        <v>231</v>
      </c>
      <c r="F27" s="51" t="n">
        <f aca="false">ValorSubasta*DepositoPct</f>
        <v>353.9225</v>
      </c>
      <c r="G27" s="10" t="s">
        <v>205</v>
      </c>
      <c r="H27" s="5" t="s">
        <v>232</v>
      </c>
    </row>
    <row r="28" customFormat="false" ht="15" hidden="false" customHeight="false" outlineLevel="0" collapsed="false">
      <c r="B28" s="10" t="s">
        <v>233</v>
      </c>
      <c r="F28" s="50" t="n">
        <v>0.7</v>
      </c>
      <c r="G28" s="10" t="s">
        <v>229</v>
      </c>
      <c r="H28" s="5" t="s">
        <v>234</v>
      </c>
    </row>
    <row r="29" customFormat="false" ht="15" hidden="false" customHeight="false" outlineLevel="0" collapsed="false">
      <c r="B29" s="10" t="s">
        <v>235</v>
      </c>
      <c r="F29" s="51" t="n">
        <f aca="false">ValorSubasta*PctAprobacion</f>
        <v>4954.915</v>
      </c>
      <c r="G29" s="10" t="s">
        <v>205</v>
      </c>
      <c r="H29" s="5" t="s">
        <v>236</v>
      </c>
    </row>
    <row r="30" customFormat="false" ht="15" hidden="false" customHeight="false" outlineLevel="0" collapsed="false">
      <c r="B30" s="10" t="s">
        <v>237</v>
      </c>
      <c r="F30" s="50" t="n">
        <v>0.5</v>
      </c>
      <c r="G30" s="10" t="s">
        <v>229</v>
      </c>
      <c r="H30" s="5" t="s">
        <v>238</v>
      </c>
    </row>
    <row r="31" customFormat="false" ht="15" hidden="false" customHeight="false" outlineLevel="0" collapsed="false">
      <c r="B31" s="10" t="s">
        <v>239</v>
      </c>
      <c r="F31" s="51" t="n">
        <f aca="false">ValorSubasta*PctMinimo</f>
        <v>3539.225</v>
      </c>
      <c r="G31" s="10" t="s">
        <v>205</v>
      </c>
      <c r="H31" s="5" t="s">
        <v>240</v>
      </c>
    </row>
    <row r="32" customFormat="false" ht="15" hidden="false" customHeight="false" outlineLevel="0" collapsed="false">
      <c r="B32" s="10" t="s">
        <v>241</v>
      </c>
      <c r="F32" s="49" t="n">
        <f aca="false">Subasta!C19</f>
        <v>10083.73</v>
      </c>
      <c r="G32" s="10" t="s">
        <v>205</v>
      </c>
      <c r="H32" s="5" t="s">
        <v>242</v>
      </c>
    </row>
    <row r="34" customFormat="false" ht="15" hidden="false" customHeight="false" outlineLevel="0" collapsed="false">
      <c r="B34" s="6" t="s">
        <v>243</v>
      </c>
      <c r="C34" s="7"/>
      <c r="D34" s="7"/>
      <c r="E34" s="7"/>
      <c r="F34" s="7"/>
      <c r="G34" s="7"/>
      <c r="H34" s="7"/>
    </row>
    <row r="35" customFormat="false" ht="15" hidden="false" customHeight="false" outlineLevel="0" collapsed="false">
      <c r="B35" s="10" t="s">
        <v>244</v>
      </c>
      <c r="F35" s="40" t="str">
        <f aca="false">IF(Regimen=1,"ITP — segunda transmisión","IVA — primera entrega del promotor")</f>
        <v>ITP — segunda transmisión</v>
      </c>
      <c r="G35" s="10"/>
      <c r="H35" s="5" t="s">
        <v>245</v>
      </c>
    </row>
    <row r="36" customFormat="false" ht="15" hidden="false" customHeight="false" outlineLevel="0" collapsed="false">
      <c r="B36" s="10" t="s">
        <v>246</v>
      </c>
      <c r="F36" s="50" t="n">
        <v>0.07</v>
      </c>
      <c r="G36" s="10" t="s">
        <v>229</v>
      </c>
      <c r="H36" s="5" t="s">
        <v>247</v>
      </c>
    </row>
    <row r="37" customFormat="false" ht="15" hidden="false" customHeight="false" outlineLevel="0" collapsed="false">
      <c r="B37" s="10" t="s">
        <v>248</v>
      </c>
      <c r="F37" s="52" t="n">
        <v>7078.45</v>
      </c>
      <c r="G37" s="10" t="s">
        <v>205</v>
      </c>
      <c r="H37" s="5" t="s">
        <v>249</v>
      </c>
    </row>
    <row r="38" customFormat="false" ht="15" hidden="false" customHeight="false" outlineLevel="0" collapsed="false">
      <c r="B38" s="10" t="s">
        <v>250</v>
      </c>
      <c r="F38" s="50" t="n">
        <v>0.21</v>
      </c>
      <c r="G38" s="10" t="s">
        <v>229</v>
      </c>
      <c r="H38" s="5" t="s">
        <v>251</v>
      </c>
    </row>
    <row r="39" customFormat="false" ht="15" hidden="false" customHeight="false" outlineLevel="0" collapsed="false">
      <c r="B39" s="10" t="s">
        <v>252</v>
      </c>
      <c r="F39" s="47" t="n">
        <v>0</v>
      </c>
      <c r="G39" s="10" t="s">
        <v>191</v>
      </c>
      <c r="H39" s="5" t="s">
        <v>253</v>
      </c>
    </row>
    <row r="40" customFormat="false" ht="15" hidden="false" customHeight="false" outlineLevel="0" collapsed="false">
      <c r="B40" s="10" t="s">
        <v>254</v>
      </c>
      <c r="F40" s="53" t="n">
        <f aca="false">IF(Regimen=1,MAX(Puja,ValorReferencia),Puja)</f>
        <v>7078.45</v>
      </c>
      <c r="G40" s="10" t="s">
        <v>205</v>
      </c>
      <c r="H40" s="5"/>
    </row>
    <row r="41" customFormat="false" ht="15" hidden="false" customHeight="false" outlineLevel="0" collapsed="false">
      <c r="B41" s="3" t="s">
        <v>12</v>
      </c>
      <c r="F41" s="46" t="n">
        <f aca="false">IF(Regimen=1,TipoITP*MAX(Puja,ValorReferencia),TipoIVA*Puja*(1-IVADeducible))</f>
        <v>495.4915</v>
      </c>
      <c r="G41" s="10" t="s">
        <v>205</v>
      </c>
      <c r="H41" s="5"/>
    </row>
    <row r="43" customFormat="false" ht="15" hidden="false" customHeight="false" outlineLevel="0" collapsed="false">
      <c r="B43" s="6" t="s">
        <v>255</v>
      </c>
      <c r="C43" s="7"/>
      <c r="D43" s="7"/>
      <c r="E43" s="7"/>
      <c r="F43" s="7"/>
      <c r="G43" s="7"/>
      <c r="H43" s="7"/>
    </row>
    <row r="44" customFormat="false" ht="15" hidden="false" customHeight="false" outlineLevel="0" collapsed="false">
      <c r="B44" s="10" t="s">
        <v>256</v>
      </c>
      <c r="F44" s="44" t="n">
        <v>150</v>
      </c>
      <c r="G44" s="10" t="s">
        <v>205</v>
      </c>
      <c r="H44" s="5" t="s">
        <v>257</v>
      </c>
    </row>
    <row r="45" customFormat="false" ht="15" hidden="false" customHeight="false" outlineLevel="0" collapsed="false">
      <c r="B45" s="10" t="s">
        <v>258</v>
      </c>
      <c r="F45" s="44" t="n">
        <v>250</v>
      </c>
      <c r="G45" s="10" t="s">
        <v>205</v>
      </c>
      <c r="H45" s="5" t="s">
        <v>259</v>
      </c>
    </row>
    <row r="46" customFormat="false" ht="15" hidden="false" customHeight="false" outlineLevel="0" collapsed="false">
      <c r="B46" s="10" t="s">
        <v>260</v>
      </c>
      <c r="F46" s="44" t="n">
        <v>0</v>
      </c>
      <c r="G46" s="10" t="s">
        <v>205</v>
      </c>
      <c r="H46" s="5" t="s">
        <v>261</v>
      </c>
    </row>
    <row r="47" customFormat="false" ht="15" hidden="false" customHeight="false" outlineLevel="0" collapsed="false">
      <c r="B47" s="10" t="s">
        <v>262</v>
      </c>
      <c r="F47" s="53" t="n">
        <f aca="false">CuotaComunidad*MesesDeuda</f>
        <v>360</v>
      </c>
      <c r="G47" s="10" t="s">
        <v>205</v>
      </c>
      <c r="H47" s="5" t="s">
        <v>263</v>
      </c>
    </row>
    <row r="48" customFormat="false" ht="15" hidden="false" customHeight="false" outlineLevel="0" collapsed="false">
      <c r="B48" s="10" t="s">
        <v>264</v>
      </c>
      <c r="F48" s="45" t="n">
        <v>40</v>
      </c>
      <c r="G48" s="10" t="s">
        <v>265</v>
      </c>
      <c r="H48" s="5" t="s">
        <v>266</v>
      </c>
    </row>
    <row r="49" customFormat="false" ht="15" hidden="false" customHeight="false" outlineLevel="0" collapsed="false">
      <c r="B49" s="10" t="s">
        <v>267</v>
      </c>
      <c r="F49" s="47" t="n">
        <v>4</v>
      </c>
      <c r="G49" s="10" t="s">
        <v>268</v>
      </c>
      <c r="H49" s="5" t="s">
        <v>269</v>
      </c>
    </row>
    <row r="50" customFormat="false" ht="15" hidden="false" customHeight="false" outlineLevel="0" collapsed="false">
      <c r="B50" s="10" t="s">
        <v>270</v>
      </c>
      <c r="F50" s="53" t="n">
        <f aca="false">IBIAnual*AnosIBI</f>
        <v>160</v>
      </c>
      <c r="G50" s="10" t="s">
        <v>205</v>
      </c>
      <c r="H50" s="5"/>
    </row>
    <row r="51" customFormat="false" ht="15" hidden="false" customHeight="false" outlineLevel="0" collapsed="false">
      <c r="B51" s="10" t="s">
        <v>215</v>
      </c>
      <c r="F51" s="53" t="n">
        <f aca="false">CostePosesion</f>
        <v>100</v>
      </c>
      <c r="G51" s="10" t="s">
        <v>205</v>
      </c>
      <c r="H51" s="5" t="s">
        <v>271</v>
      </c>
    </row>
    <row r="52" customFormat="false" ht="15" hidden="false" customHeight="false" outlineLevel="0" collapsed="false">
      <c r="B52" s="3" t="s">
        <v>272</v>
      </c>
      <c r="F52" s="46" t="n">
        <f aca="false">Registro+Gestoria+Abogado+DeudaComunidad+DeudaIBI+CostePosesion</f>
        <v>1020</v>
      </c>
      <c r="G52" s="10" t="s">
        <v>205</v>
      </c>
      <c r="H52" s="5" t="s">
        <v>273</v>
      </c>
    </row>
    <row r="54" customFormat="false" ht="15" hidden="false" customHeight="false" outlineLevel="0" collapsed="false">
      <c r="B54" s="6" t="s">
        <v>274</v>
      </c>
      <c r="C54" s="7"/>
      <c r="D54" s="7"/>
      <c r="E54" s="7"/>
      <c r="F54" s="7"/>
      <c r="G54" s="7"/>
      <c r="H54" s="7"/>
    </row>
    <row r="55" customFormat="false" ht="15" hidden="false" customHeight="false" outlineLevel="0" collapsed="false">
      <c r="B55" s="10" t="s">
        <v>85</v>
      </c>
      <c r="F55" s="54" t="n">
        <v>46315</v>
      </c>
      <c r="G55" s="10" t="s">
        <v>275</v>
      </c>
      <c r="H55" s="5" t="s">
        <v>276</v>
      </c>
    </row>
    <row r="56" customFormat="false" ht="15" hidden="false" customHeight="false" outlineLevel="0" collapsed="false">
      <c r="B56" s="10" t="s">
        <v>277</v>
      </c>
      <c r="F56" s="47" t="n">
        <v>1</v>
      </c>
      <c r="G56" s="10" t="s">
        <v>213</v>
      </c>
      <c r="H56" s="5" t="s">
        <v>278</v>
      </c>
    </row>
    <row r="57" customFormat="false" ht="15" hidden="false" customHeight="false" outlineLevel="0" collapsed="false">
      <c r="B57" s="10" t="s">
        <v>279</v>
      </c>
      <c r="F57" s="47" t="n">
        <v>3</v>
      </c>
      <c r="G57" s="10" t="s">
        <v>213</v>
      </c>
      <c r="H57" s="5" t="s">
        <v>280</v>
      </c>
    </row>
    <row r="58" customFormat="false" ht="15" hidden="false" customHeight="false" outlineLevel="0" collapsed="false">
      <c r="B58" s="10" t="s">
        <v>281</v>
      </c>
      <c r="F58" s="55" t="n">
        <f aca="false">MesPosesion</f>
        <v>4</v>
      </c>
      <c r="G58" s="10" t="s">
        <v>213</v>
      </c>
      <c r="H58" s="5" t="s">
        <v>271</v>
      </c>
    </row>
    <row r="59" customFormat="false" ht="15" hidden="false" customHeight="false" outlineLevel="0" collapsed="false">
      <c r="B59" s="10" t="s">
        <v>282</v>
      </c>
      <c r="F59" s="55" t="n">
        <f aca="false">MesPosesion+MesesVenta</f>
        <v>8</v>
      </c>
      <c r="G59" s="10" t="s">
        <v>213</v>
      </c>
      <c r="H59" s="5" t="s">
        <v>283</v>
      </c>
    </row>
    <row r="60" customFormat="false" ht="15" hidden="false" customHeight="false" outlineLevel="0" collapsed="false">
      <c r="B60" s="10" t="s">
        <v>284</v>
      </c>
      <c r="F60" s="47" t="n">
        <v>1</v>
      </c>
      <c r="G60" s="10" t="s">
        <v>220</v>
      </c>
      <c r="H60" s="5"/>
    </row>
    <row r="61" customFormat="false" ht="15" hidden="false" customHeight="false" outlineLevel="0" collapsed="false">
      <c r="B61" s="10" t="s">
        <v>285</v>
      </c>
      <c r="F61" s="55" t="n">
        <f aca="false">MesPosesion+MesesPuestaAlquiler</f>
        <v>5</v>
      </c>
      <c r="G61" s="10" t="s">
        <v>213</v>
      </c>
      <c r="H61" s="5"/>
    </row>
    <row r="63" customFormat="false" ht="15" hidden="false" customHeight="false" outlineLevel="0" collapsed="false">
      <c r="B63" s="6" t="s">
        <v>286</v>
      </c>
      <c r="C63" s="7"/>
      <c r="D63" s="7"/>
      <c r="E63" s="7"/>
      <c r="F63" s="7"/>
      <c r="G63" s="7"/>
      <c r="H63" s="7"/>
    </row>
    <row r="64" customFormat="false" ht="15" hidden="false" customHeight="false" outlineLevel="0" collapsed="false">
      <c r="B64" s="10" t="s">
        <v>217</v>
      </c>
      <c r="F64" s="53" t="n">
        <f aca="false">CuotaComunidad</f>
        <v>10</v>
      </c>
      <c r="G64" s="10" t="s">
        <v>210</v>
      </c>
      <c r="H64" s="5" t="s">
        <v>271</v>
      </c>
    </row>
    <row r="65" customFormat="false" ht="15" hidden="false" customHeight="false" outlineLevel="0" collapsed="false">
      <c r="B65" s="10" t="s">
        <v>287</v>
      </c>
      <c r="F65" s="44" t="n">
        <v>0</v>
      </c>
      <c r="G65" s="10" t="s">
        <v>265</v>
      </c>
      <c r="H65" s="5" t="s">
        <v>288</v>
      </c>
    </row>
    <row r="66" customFormat="false" ht="15" hidden="false" customHeight="false" outlineLevel="0" collapsed="false">
      <c r="B66" s="10" t="s">
        <v>289</v>
      </c>
      <c r="F66" s="51" t="n">
        <f aca="false">CuotaComunidad+(IBIAnual+SeguroAnual)/12</f>
        <v>13.3333333333333</v>
      </c>
      <c r="G66" s="10" t="s">
        <v>210</v>
      </c>
      <c r="H66" s="5"/>
    </row>
    <row r="67" customFormat="false" ht="15" hidden="false" customHeight="false" outlineLevel="0" collapsed="false">
      <c r="B67" s="10" t="s">
        <v>290</v>
      </c>
      <c r="F67" s="55" t="n">
        <f aca="false">MAX(0,MesVenta-MesDecreto)</f>
        <v>5</v>
      </c>
      <c r="G67" s="10" t="s">
        <v>220</v>
      </c>
      <c r="H67" s="5" t="s">
        <v>291</v>
      </c>
    </row>
    <row r="68" customFormat="false" ht="15" hidden="false" customHeight="false" outlineLevel="0" collapsed="false">
      <c r="B68" s="10" t="s">
        <v>292</v>
      </c>
      <c r="F68" s="53" t="n">
        <f aca="false">GastoMensual*MesesTenenciaFlip</f>
        <v>66.6666666666667</v>
      </c>
      <c r="G68" s="10" t="s">
        <v>205</v>
      </c>
      <c r="H68" s="5"/>
    </row>
    <row r="69" customFormat="false" ht="15" hidden="false" customHeight="false" outlineLevel="0" collapsed="false">
      <c r="B69" s="10" t="s">
        <v>293</v>
      </c>
      <c r="F69" s="55" t="n">
        <f aca="false">MAX(0,MesAlquiler-MesDecreto)</f>
        <v>2</v>
      </c>
      <c r="G69" s="10" t="s">
        <v>220</v>
      </c>
      <c r="H69" s="5"/>
    </row>
    <row r="70" customFormat="false" ht="15" hidden="false" customHeight="false" outlineLevel="0" collapsed="false">
      <c r="B70" s="10" t="s">
        <v>294</v>
      </c>
      <c r="F70" s="53" t="n">
        <f aca="false">GastoMensual*MesesTenenciaAlq</f>
        <v>26.6666666666667</v>
      </c>
      <c r="G70" s="10" t="s">
        <v>205</v>
      </c>
      <c r="H70" s="5"/>
    </row>
    <row r="72" customFormat="false" ht="15" hidden="false" customHeight="false" outlineLevel="0" collapsed="false">
      <c r="B72" s="6" t="s">
        <v>295</v>
      </c>
      <c r="C72" s="7"/>
      <c r="D72" s="7"/>
      <c r="E72" s="7"/>
      <c r="F72" s="7"/>
      <c r="G72" s="7"/>
      <c r="H72" s="7"/>
    </row>
    <row r="73" customFormat="false" ht="15" hidden="false" customHeight="false" outlineLevel="0" collapsed="false">
      <c r="B73" s="10" t="s">
        <v>296</v>
      </c>
      <c r="F73" s="53" t="n">
        <f aca="false">PrecioVenta</f>
        <v>10000</v>
      </c>
      <c r="G73" s="10" t="s">
        <v>205</v>
      </c>
      <c r="H73" s="5" t="s">
        <v>271</v>
      </c>
    </row>
    <row r="74" customFormat="false" ht="15" hidden="false" customHeight="false" outlineLevel="0" collapsed="false">
      <c r="B74" s="10" t="s">
        <v>297</v>
      </c>
      <c r="F74" s="50" t="n">
        <v>0.05</v>
      </c>
      <c r="G74" s="10" t="s">
        <v>229</v>
      </c>
      <c r="H74" s="5" t="s">
        <v>298</v>
      </c>
    </row>
    <row r="75" customFormat="false" ht="15" hidden="false" customHeight="false" outlineLevel="0" collapsed="false">
      <c r="B75" s="10" t="s">
        <v>299</v>
      </c>
      <c r="F75" s="53" t="n">
        <f aca="false">PrecioVenta*(1-DescuentoNeg)</f>
        <v>9500</v>
      </c>
      <c r="G75" s="10" t="s">
        <v>205</v>
      </c>
      <c r="H75" s="5"/>
    </row>
    <row r="76" customFormat="false" ht="15" hidden="false" customHeight="false" outlineLevel="0" collapsed="false">
      <c r="B76" s="10" t="s">
        <v>300</v>
      </c>
      <c r="F76" s="50" t="n">
        <v>0.03</v>
      </c>
      <c r="G76" s="10" t="s">
        <v>229</v>
      </c>
      <c r="H76" s="5" t="s">
        <v>301</v>
      </c>
    </row>
    <row r="77" customFormat="false" ht="15" hidden="false" customHeight="false" outlineLevel="0" collapsed="false">
      <c r="B77" s="10" t="s">
        <v>302</v>
      </c>
      <c r="F77" s="44" t="n">
        <v>70</v>
      </c>
      <c r="G77" s="10" t="s">
        <v>205</v>
      </c>
      <c r="H77" s="5" t="s">
        <v>303</v>
      </c>
    </row>
    <row r="78" customFormat="false" ht="15" hidden="false" customHeight="false" outlineLevel="0" collapsed="false">
      <c r="B78" s="3" t="s">
        <v>27</v>
      </c>
      <c r="F78" s="46" t="n">
        <f aca="false">PrecioVenta*(1-DescuentoNeg)*(1-ComisionVenta*(1+TipoIVA))-Plusvalia</f>
        <v>9085.15</v>
      </c>
      <c r="G78" s="10" t="s">
        <v>205</v>
      </c>
      <c r="H78" s="5"/>
    </row>
    <row r="79" customFormat="false" ht="15" hidden="false" customHeight="false" outlineLevel="0" collapsed="false">
      <c r="B79" s="10" t="s">
        <v>304</v>
      </c>
      <c r="F79" s="50" t="n">
        <v>0.19</v>
      </c>
      <c r="G79" s="10" t="s">
        <v>229</v>
      </c>
      <c r="H79" s="5" t="s">
        <v>305</v>
      </c>
    </row>
    <row r="81" customFormat="false" ht="15" hidden="false" customHeight="false" outlineLevel="0" collapsed="false">
      <c r="B81" s="6" t="s">
        <v>306</v>
      </c>
      <c r="C81" s="7"/>
      <c r="D81" s="7"/>
      <c r="E81" s="7"/>
      <c r="F81" s="7"/>
      <c r="G81" s="7"/>
      <c r="H81" s="7"/>
    </row>
    <row r="82" customFormat="false" ht="15" hidden="false" customHeight="false" outlineLevel="0" collapsed="false">
      <c r="B82" s="10" t="s">
        <v>307</v>
      </c>
      <c r="F82" s="53" t="n">
        <f aca="false">Renta</f>
        <v>45</v>
      </c>
      <c r="G82" s="10" t="s">
        <v>210</v>
      </c>
      <c r="H82" s="5" t="s">
        <v>271</v>
      </c>
    </row>
    <row r="83" customFormat="false" ht="15" hidden="false" customHeight="false" outlineLevel="0" collapsed="false">
      <c r="B83" s="10" t="s">
        <v>308</v>
      </c>
      <c r="F83" s="47" t="n">
        <v>1</v>
      </c>
      <c r="G83" s="10" t="s">
        <v>191</v>
      </c>
      <c r="H83" s="5" t="s">
        <v>309</v>
      </c>
    </row>
    <row r="84" customFormat="false" ht="15" hidden="false" customHeight="false" outlineLevel="0" collapsed="false">
      <c r="B84" s="10" t="s">
        <v>310</v>
      </c>
      <c r="F84" s="51" t="n">
        <f aca="false">Renta/(1+TipoIVA*RentaInclIVA)</f>
        <v>37.1900826446281</v>
      </c>
      <c r="G84" s="10" t="s">
        <v>210</v>
      </c>
      <c r="H84" s="5"/>
    </row>
    <row r="85" customFormat="false" ht="15" hidden="false" customHeight="false" outlineLevel="0" collapsed="false">
      <c r="B85" s="10" t="s">
        <v>311</v>
      </c>
      <c r="F85" s="50" t="n">
        <v>0.08</v>
      </c>
      <c r="G85" s="10" t="s">
        <v>229</v>
      </c>
      <c r="H85" s="5" t="s">
        <v>312</v>
      </c>
    </row>
    <row r="86" customFormat="false" ht="15" hidden="false" customHeight="false" outlineLevel="0" collapsed="false">
      <c r="B86" s="10" t="s">
        <v>313</v>
      </c>
      <c r="F86" s="50" t="n">
        <v>0</v>
      </c>
      <c r="G86" s="10" t="s">
        <v>229</v>
      </c>
      <c r="H86" s="5" t="s">
        <v>314</v>
      </c>
    </row>
    <row r="87" customFormat="false" ht="15" hidden="false" customHeight="false" outlineLevel="0" collapsed="false">
      <c r="B87" s="10" t="s">
        <v>315</v>
      </c>
      <c r="F87" s="50" t="n">
        <v>0.02</v>
      </c>
      <c r="G87" s="10" t="s">
        <v>229</v>
      </c>
      <c r="H87" s="5"/>
    </row>
    <row r="88" customFormat="false" ht="15" hidden="false" customHeight="false" outlineLevel="0" collapsed="false">
      <c r="B88" s="10" t="s">
        <v>316</v>
      </c>
      <c r="F88" s="50" t="n">
        <v>0.025</v>
      </c>
      <c r="G88" s="10" t="s">
        <v>229</v>
      </c>
      <c r="H88" s="5"/>
    </row>
    <row r="89" customFormat="false" ht="15" hidden="false" customHeight="false" outlineLevel="0" collapsed="false">
      <c r="B89" s="10" t="s">
        <v>317</v>
      </c>
      <c r="F89" s="50" t="n">
        <v>0.025</v>
      </c>
      <c r="G89" s="10" t="s">
        <v>229</v>
      </c>
      <c r="H89" s="5"/>
    </row>
    <row r="90" customFormat="false" ht="15" hidden="false" customHeight="false" outlineLevel="0" collapsed="false">
      <c r="B90" s="10" t="s">
        <v>318</v>
      </c>
      <c r="F90" s="50" t="n">
        <v>0.02</v>
      </c>
      <c r="G90" s="10" t="s">
        <v>229</v>
      </c>
      <c r="H90" s="5" t="s">
        <v>319</v>
      </c>
    </row>
    <row r="91" customFormat="false" ht="15" hidden="false" customHeight="false" outlineLevel="0" collapsed="false">
      <c r="B91" s="10" t="s">
        <v>320</v>
      </c>
      <c r="F91" s="44" t="n">
        <v>150</v>
      </c>
      <c r="G91" s="10" t="s">
        <v>205</v>
      </c>
      <c r="H91" s="5"/>
    </row>
    <row r="92" customFormat="false" ht="15" hidden="false" customHeight="false" outlineLevel="0" collapsed="false">
      <c r="B92" s="10" t="s">
        <v>321</v>
      </c>
      <c r="F92" s="50" t="n">
        <v>0.06</v>
      </c>
      <c r="G92" s="10" t="s">
        <v>229</v>
      </c>
      <c r="H92" s="5" t="s">
        <v>322</v>
      </c>
    </row>
    <row r="93" customFormat="false" ht="15" hidden="false" customHeight="false" outlineLevel="0" collapsed="false">
      <c r="B93" s="3" t="s">
        <v>323</v>
      </c>
      <c r="F93" s="46" t="n">
        <f aca="false">Renta/(1+TipoIVA*RentaInclIVA)*12*(1-Desocupacion)*(1-GestionPct-MantenimientoPct)-CuotaComunidad*12-IBIAnual-SeguroAnual</f>
        <v>242.36694214876</v>
      </c>
      <c r="G93" s="10" t="s">
        <v>265</v>
      </c>
      <c r="H93" s="5"/>
    </row>
    <row r="95" customFormat="false" ht="15" hidden="false" customHeight="false" outlineLevel="0" collapsed="false">
      <c r="B95" s="6" t="s">
        <v>324</v>
      </c>
      <c r="C95" s="7"/>
      <c r="D95" s="7"/>
      <c r="E95" s="7"/>
      <c r="F95" s="7"/>
      <c r="G95" s="7"/>
      <c r="H95" s="7"/>
    </row>
    <row r="96" customFormat="false" ht="15" hidden="false" customHeight="false" outlineLevel="0" collapsed="false">
      <c r="B96" s="10" t="s">
        <v>325</v>
      </c>
      <c r="F96" s="56" t="n">
        <v>0.2</v>
      </c>
      <c r="G96" s="10" t="s">
        <v>229</v>
      </c>
      <c r="H96" s="5" t="s">
        <v>326</v>
      </c>
    </row>
    <row r="97" customFormat="false" ht="15" hidden="false" customHeight="false" outlineLevel="0" collapsed="false">
      <c r="B97" s="10" t="s">
        <v>327</v>
      </c>
      <c r="F97" s="56" t="n">
        <v>0.05</v>
      </c>
      <c r="G97" s="10" t="s">
        <v>229</v>
      </c>
      <c r="H97" s="5" t="s">
        <v>328</v>
      </c>
    </row>
  </sheetData>
  <dataValidations count="3">
    <dataValidation allowBlank="false" errorStyle="stop" operator="between" showDropDown="false" showErrorMessage="false" showInputMessage="false" sqref="F7" type="list">
      <formula1>"1,2,3"</formula1>
      <formula2>0</formula2>
    </dataValidation>
    <dataValidation allowBlank="false" errorStyle="stop" operator="between" showDropDown="false" showErrorMessage="false" showInputMessage="false" sqref="F9 C22:E22" type="list">
      <formula1>"1,2"</formula1>
      <formula2>0</formula2>
    </dataValidation>
    <dataValidation allowBlank="false" errorStyle="stop" operator="between" showDropDown="false" showErrorMessage="false" showInputMessage="false" sqref="F39 F83" type="list">
      <formula1>"0,1"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true"/>
  </sheetPr>
  <dimension ref="B2:J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3"/>
    <col collapsed="false" customWidth="true" hidden="false" outlineLevel="0" max="3" min="3" style="0" width="32"/>
    <col collapsed="false" customWidth="true" hidden="false" outlineLevel="0" max="4" min="4" style="0" width="27"/>
    <col collapsed="false" customWidth="true" hidden="false" outlineLevel="0" max="5" min="5" style="0" width="28"/>
    <col collapsed="false" customWidth="true" hidden="false" outlineLevel="0" max="7" min="6" style="0" width="13"/>
    <col collapsed="false" customWidth="true" hidden="false" outlineLevel="0" max="8" min="8" style="0" width="10"/>
    <col collapsed="false" customWidth="true" hidden="false" outlineLevel="0" max="9" min="9" style="0" width="60"/>
    <col collapsed="false" customWidth="true" hidden="false" outlineLevel="0" max="10" min="10" style="0" width="40"/>
  </cols>
  <sheetData>
    <row r="2" customFormat="false" ht="19.7" hidden="false" customHeight="false" outlineLevel="0" collapsed="false">
      <c r="B2" s="1" t="s">
        <v>329</v>
      </c>
    </row>
    <row r="3" customFormat="false" ht="15" hidden="false" customHeight="false" outlineLevel="0" collapsed="false">
      <c r="B3" s="2" t="s">
        <v>330</v>
      </c>
    </row>
    <row r="5" customFormat="false" ht="15" hidden="false" customHeight="false" outlineLevel="0" collapsed="false">
      <c r="B5" s="6" t="s">
        <v>331</v>
      </c>
      <c r="C5" s="7"/>
      <c r="D5" s="7"/>
      <c r="E5" s="7"/>
      <c r="F5" s="7"/>
      <c r="G5" s="7"/>
      <c r="H5" s="7"/>
      <c r="I5" s="7"/>
      <c r="J5" s="7"/>
    </row>
    <row r="6" customFormat="false" ht="15" hidden="false" customHeight="false" outlineLevel="0" collapsed="false">
      <c r="B6" s="24" t="s">
        <v>332</v>
      </c>
      <c r="C6" s="24" t="s">
        <v>333</v>
      </c>
      <c r="D6" s="24" t="s">
        <v>334</v>
      </c>
      <c r="E6" s="24" t="s">
        <v>335</v>
      </c>
      <c r="F6" s="24" t="s">
        <v>336</v>
      </c>
      <c r="G6" s="24" t="s">
        <v>337</v>
      </c>
      <c r="H6" s="24" t="s">
        <v>338</v>
      </c>
      <c r="I6" s="24" t="s">
        <v>339</v>
      </c>
      <c r="J6" s="24" t="s">
        <v>340</v>
      </c>
    </row>
    <row r="7" customFormat="false" ht="32.8" hidden="false" customHeight="false" outlineLevel="0" collapsed="false">
      <c r="B7" s="57" t="s">
        <v>341</v>
      </c>
      <c r="C7" s="57" t="s">
        <v>342</v>
      </c>
      <c r="D7" s="57" t="s">
        <v>343</v>
      </c>
      <c r="E7" s="57" t="s">
        <v>344</v>
      </c>
      <c r="F7" s="58" t="n">
        <v>4</v>
      </c>
      <c r="G7" s="59" t="n">
        <v>10000</v>
      </c>
      <c r="H7" s="60" t="n">
        <f aca="false">IF(F7&gt;0,G7/F7,"")</f>
        <v>2500</v>
      </c>
      <c r="I7" s="61" t="s">
        <v>345</v>
      </c>
      <c r="J7" s="62" t="s">
        <v>346</v>
      </c>
    </row>
    <row r="8" customFormat="false" ht="15" hidden="false" customHeight="false" outlineLevel="0" collapsed="false">
      <c r="B8" s="10" t="s">
        <v>347</v>
      </c>
      <c r="C8" s="10" t="s">
        <v>348</v>
      </c>
      <c r="D8" s="10" t="s">
        <v>349</v>
      </c>
      <c r="E8" s="10" t="s">
        <v>350</v>
      </c>
      <c r="F8" s="63"/>
      <c r="G8" s="64" t="n">
        <v>13500</v>
      </c>
      <c r="H8" s="65" t="str">
        <f aca="false">IF(F8&gt;0,G8/F8,"")</f>
        <v/>
      </c>
      <c r="I8" s="26" t="s">
        <v>351</v>
      </c>
      <c r="J8" s="62" t="s">
        <v>352</v>
      </c>
    </row>
    <row r="9" customFormat="false" ht="15" hidden="false" customHeight="false" outlineLevel="0" collapsed="false">
      <c r="B9" s="10" t="s">
        <v>353</v>
      </c>
      <c r="C9" s="10" t="s">
        <v>354</v>
      </c>
      <c r="D9" s="10" t="s">
        <v>355</v>
      </c>
      <c r="E9" s="10" t="s">
        <v>344</v>
      </c>
      <c r="F9" s="63" t="n">
        <v>3</v>
      </c>
      <c r="G9" s="64" t="n">
        <v>11900</v>
      </c>
      <c r="H9" s="65" t="n">
        <f aca="false">IF(F9&gt;0,G9/F9,"")</f>
        <v>3966.66666666667</v>
      </c>
      <c r="I9" s="26" t="s">
        <v>356</v>
      </c>
      <c r="J9" s="62" t="s">
        <v>357</v>
      </c>
    </row>
    <row r="10" customFormat="false" ht="15" hidden="false" customHeight="false" outlineLevel="0" collapsed="false">
      <c r="F10" s="66" t="s">
        <v>358</v>
      </c>
      <c r="G10" s="48" t="n">
        <f aca="false">COUNT(G7:G9)</f>
        <v>3</v>
      </c>
    </row>
    <row r="11" customFormat="false" ht="15" hidden="false" customHeight="false" outlineLevel="0" collapsed="false">
      <c r="F11" s="66" t="s">
        <v>359</v>
      </c>
      <c r="G11" s="46" t="n">
        <f aca="false">AVERAGE(G7:G9)</f>
        <v>11800</v>
      </c>
    </row>
    <row r="12" customFormat="false" ht="15" hidden="false" customHeight="false" outlineLevel="0" collapsed="false">
      <c r="F12" s="66" t="s">
        <v>360</v>
      </c>
      <c r="G12" s="46" t="n">
        <f aca="false">MEDIAN(G7:G9)</f>
        <v>11900</v>
      </c>
    </row>
    <row r="13" customFormat="false" ht="15" hidden="false" customHeight="false" outlineLevel="0" collapsed="false">
      <c r="F13" s="66" t="s">
        <v>361</v>
      </c>
      <c r="G13" s="46" t="n">
        <f aca="false">MIN(G7:G9)</f>
        <v>10000</v>
      </c>
    </row>
    <row r="14" customFormat="false" ht="15" hidden="false" customHeight="false" outlineLevel="0" collapsed="false">
      <c r="F14" s="66" t="s">
        <v>362</v>
      </c>
      <c r="G14" s="46" t="n">
        <f aca="false">MAX(G7:G9)</f>
        <v>13500</v>
      </c>
    </row>
    <row r="16" customFormat="false" ht="15" hidden="false" customHeight="false" outlineLevel="0" collapsed="false">
      <c r="B16" s="6" t="s">
        <v>363</v>
      </c>
      <c r="C16" s="7"/>
      <c r="D16" s="7"/>
      <c r="E16" s="7"/>
      <c r="F16" s="7"/>
      <c r="G16" s="7"/>
      <c r="H16" s="7"/>
      <c r="I16" s="7"/>
      <c r="J16" s="7"/>
    </row>
    <row r="17" customFormat="false" ht="15" hidden="false" customHeight="false" outlineLevel="0" collapsed="false">
      <c r="B17" s="24" t="s">
        <v>332</v>
      </c>
      <c r="C17" s="24" t="s">
        <v>333</v>
      </c>
      <c r="D17" s="24" t="s">
        <v>334</v>
      </c>
      <c r="E17" s="24" t="s">
        <v>335</v>
      </c>
      <c r="F17" s="24" t="s">
        <v>336</v>
      </c>
      <c r="G17" s="24" t="s">
        <v>337</v>
      </c>
      <c r="H17" s="24" t="s">
        <v>338</v>
      </c>
      <c r="I17" s="24" t="s">
        <v>339</v>
      </c>
      <c r="J17" s="24" t="s">
        <v>340</v>
      </c>
    </row>
    <row r="18" customFormat="false" ht="15" hidden="false" customHeight="false" outlineLevel="0" collapsed="false">
      <c r="B18" s="10" t="s">
        <v>364</v>
      </c>
      <c r="C18" s="10" t="s">
        <v>365</v>
      </c>
      <c r="D18" s="10" t="s">
        <v>366</v>
      </c>
      <c r="E18" s="10" t="s">
        <v>367</v>
      </c>
      <c r="F18" s="63" t="n">
        <v>3.84</v>
      </c>
      <c r="G18" s="64" t="n">
        <v>16000</v>
      </c>
      <c r="H18" s="65" t="n">
        <f aca="false">IF(F18&gt;0,G18/F18,"")</f>
        <v>4166.66666666667</v>
      </c>
      <c r="I18" s="26" t="s">
        <v>368</v>
      </c>
      <c r="J18" s="62" t="s">
        <v>369</v>
      </c>
    </row>
    <row r="19" customFormat="false" ht="15" hidden="false" customHeight="false" outlineLevel="0" collapsed="false">
      <c r="B19" s="10" t="s">
        <v>370</v>
      </c>
      <c r="C19" s="10" t="s">
        <v>371</v>
      </c>
      <c r="D19" s="10" t="s">
        <v>372</v>
      </c>
      <c r="E19" s="10" t="s">
        <v>373</v>
      </c>
      <c r="F19" s="63" t="n">
        <v>10</v>
      </c>
      <c r="G19" s="64" t="n">
        <v>15000</v>
      </c>
      <c r="H19" s="65" t="n">
        <f aca="false">IF(F19&gt;0,G19/F19,"")</f>
        <v>1500</v>
      </c>
      <c r="I19" s="26"/>
      <c r="J19" s="62" t="s">
        <v>374</v>
      </c>
    </row>
    <row r="20" customFormat="false" ht="15" hidden="false" customHeight="false" outlineLevel="0" collapsed="false">
      <c r="B20" s="10" t="s">
        <v>375</v>
      </c>
      <c r="C20" s="10" t="s">
        <v>376</v>
      </c>
      <c r="D20" s="10" t="s">
        <v>377</v>
      </c>
      <c r="E20" s="10" t="s">
        <v>344</v>
      </c>
      <c r="F20" s="63"/>
      <c r="G20" s="64" t="n">
        <v>18000</v>
      </c>
      <c r="H20" s="65" t="str">
        <f aca="false">IF(F20&gt;0,G20/F20,"")</f>
        <v/>
      </c>
      <c r="I20" s="26" t="s">
        <v>378</v>
      </c>
      <c r="J20" s="62" t="s">
        <v>379</v>
      </c>
    </row>
    <row r="21" customFormat="false" ht="15" hidden="false" customHeight="false" outlineLevel="0" collapsed="false">
      <c r="B21" s="10" t="s">
        <v>380</v>
      </c>
      <c r="C21" s="10" t="s">
        <v>381</v>
      </c>
      <c r="D21" s="10" t="s">
        <v>382</v>
      </c>
      <c r="E21" s="10" t="s">
        <v>383</v>
      </c>
      <c r="F21" s="63"/>
      <c r="G21" s="64" t="n">
        <v>12250</v>
      </c>
      <c r="H21" s="65" t="str">
        <f aca="false">IF(F21&gt;0,G21/F21,"")</f>
        <v/>
      </c>
      <c r="I21" s="26" t="s">
        <v>384</v>
      </c>
      <c r="J21" s="62" t="s">
        <v>385</v>
      </c>
    </row>
    <row r="22" customFormat="false" ht="15" hidden="false" customHeight="false" outlineLevel="0" collapsed="false">
      <c r="B22" s="10" t="s">
        <v>386</v>
      </c>
      <c r="C22" s="10" t="s">
        <v>387</v>
      </c>
      <c r="D22" s="10" t="s">
        <v>388</v>
      </c>
      <c r="E22" s="10" t="s">
        <v>389</v>
      </c>
      <c r="F22" s="63" t="n">
        <v>9.9</v>
      </c>
      <c r="G22" s="64" t="n">
        <v>16000</v>
      </c>
      <c r="H22" s="65" t="n">
        <f aca="false">IF(F22&gt;0,G22/F22,"")</f>
        <v>1616.16161616162</v>
      </c>
      <c r="I22" s="26"/>
      <c r="J22" s="62" t="s">
        <v>390</v>
      </c>
    </row>
    <row r="23" customFormat="false" ht="15" hidden="false" customHeight="false" outlineLevel="0" collapsed="false">
      <c r="B23" s="10" t="s">
        <v>391</v>
      </c>
      <c r="C23" s="10" t="s">
        <v>392</v>
      </c>
      <c r="D23" s="10" t="s">
        <v>393</v>
      </c>
      <c r="E23" s="10" t="s">
        <v>394</v>
      </c>
      <c r="F23" s="63" t="n">
        <v>6</v>
      </c>
      <c r="G23" s="64" t="n">
        <v>15500</v>
      </c>
      <c r="H23" s="65" t="n">
        <f aca="false">IF(F23&gt;0,G23/F23,"")</f>
        <v>2583.33333333333</v>
      </c>
      <c r="I23" s="26"/>
      <c r="J23" s="62" t="s">
        <v>395</v>
      </c>
    </row>
    <row r="24" customFormat="false" ht="15" hidden="false" customHeight="false" outlineLevel="0" collapsed="false">
      <c r="B24" s="10" t="s">
        <v>396</v>
      </c>
      <c r="C24" s="10" t="s">
        <v>397</v>
      </c>
      <c r="D24" s="10" t="s">
        <v>398</v>
      </c>
      <c r="E24" s="10" t="s">
        <v>399</v>
      </c>
      <c r="F24" s="63" t="n">
        <v>14.5</v>
      </c>
      <c r="G24" s="64" t="n">
        <v>13000</v>
      </c>
      <c r="H24" s="65" t="n">
        <f aca="false">IF(F24&gt;0,G24/F24,"")</f>
        <v>896.551724137931</v>
      </c>
      <c r="I24" s="26" t="s">
        <v>400</v>
      </c>
      <c r="J24" s="62" t="s">
        <v>401</v>
      </c>
    </row>
    <row r="25" customFormat="false" ht="15" hidden="false" customHeight="false" outlineLevel="0" collapsed="false">
      <c r="B25" s="10" t="s">
        <v>402</v>
      </c>
      <c r="C25" s="10" t="s">
        <v>403</v>
      </c>
      <c r="D25" s="10" t="s">
        <v>404</v>
      </c>
      <c r="E25" s="10" t="s">
        <v>405</v>
      </c>
      <c r="F25" s="63" t="n">
        <v>12</v>
      </c>
      <c r="G25" s="64" t="n">
        <v>14500</v>
      </c>
      <c r="H25" s="65" t="n">
        <f aca="false">IF(F25&gt;0,G25/F25,"")</f>
        <v>1208.33333333333</v>
      </c>
      <c r="I25" s="26" t="s">
        <v>406</v>
      </c>
      <c r="J25" s="62" t="s">
        <v>407</v>
      </c>
    </row>
    <row r="26" customFormat="false" ht="15" hidden="false" customHeight="false" outlineLevel="0" collapsed="false">
      <c r="B26" s="10" t="s">
        <v>408</v>
      </c>
      <c r="C26" s="10" t="s">
        <v>409</v>
      </c>
      <c r="D26" s="10" t="s">
        <v>372</v>
      </c>
      <c r="E26" s="10" t="s">
        <v>344</v>
      </c>
      <c r="F26" s="63"/>
      <c r="G26" s="64" t="n">
        <v>8200</v>
      </c>
      <c r="H26" s="65" t="str">
        <f aca="false">IF(F26&gt;0,G26/F26,"")</f>
        <v/>
      </c>
      <c r="I26" s="26" t="s">
        <v>410</v>
      </c>
      <c r="J26" s="62" t="s">
        <v>411</v>
      </c>
    </row>
    <row r="27" customFormat="false" ht="15" hidden="false" customHeight="false" outlineLevel="0" collapsed="false">
      <c r="B27" s="10" t="s">
        <v>412</v>
      </c>
      <c r="C27" s="10" t="s">
        <v>413</v>
      </c>
      <c r="D27" s="10" t="s">
        <v>414</v>
      </c>
      <c r="E27" s="10" t="s">
        <v>415</v>
      </c>
      <c r="F27" s="63"/>
      <c r="G27" s="64" t="n">
        <v>8000</v>
      </c>
      <c r="H27" s="65" t="str">
        <f aca="false">IF(F27&gt;0,G27/F27,"")</f>
        <v/>
      </c>
      <c r="I27" s="26" t="s">
        <v>416</v>
      </c>
      <c r="J27" s="62" t="s">
        <v>417</v>
      </c>
    </row>
    <row r="28" customFormat="false" ht="15" hidden="false" customHeight="false" outlineLevel="0" collapsed="false">
      <c r="B28" s="10" t="s">
        <v>418</v>
      </c>
      <c r="C28" s="10" t="s">
        <v>419</v>
      </c>
      <c r="D28" s="10" t="s">
        <v>393</v>
      </c>
      <c r="E28" s="10" t="s">
        <v>415</v>
      </c>
      <c r="F28" s="63"/>
      <c r="G28" s="64" t="n">
        <v>7000</v>
      </c>
      <c r="H28" s="65" t="str">
        <f aca="false">IF(F28&gt;0,G28/F28,"")</f>
        <v/>
      </c>
      <c r="I28" s="26" t="s">
        <v>420</v>
      </c>
      <c r="J28" s="62" t="s">
        <v>421</v>
      </c>
    </row>
    <row r="29" customFormat="false" ht="15" hidden="false" customHeight="false" outlineLevel="0" collapsed="false">
      <c r="B29" s="10" t="s">
        <v>422</v>
      </c>
      <c r="C29" s="10" t="s">
        <v>423</v>
      </c>
      <c r="D29" s="10" t="s">
        <v>424</v>
      </c>
      <c r="E29" s="10" t="s">
        <v>344</v>
      </c>
      <c r="F29" s="63"/>
      <c r="G29" s="64" t="n">
        <v>5000</v>
      </c>
      <c r="H29" s="65" t="str">
        <f aca="false">IF(F29&gt;0,G29/F29,"")</f>
        <v/>
      </c>
      <c r="I29" s="26" t="s">
        <v>425</v>
      </c>
      <c r="J29" s="62" t="s">
        <v>426</v>
      </c>
    </row>
    <row r="30" customFormat="false" ht="15" hidden="false" customHeight="false" outlineLevel="0" collapsed="false">
      <c r="B30" s="10" t="s">
        <v>427</v>
      </c>
      <c r="C30" s="10" t="s">
        <v>423</v>
      </c>
      <c r="D30" s="10" t="s">
        <v>424</v>
      </c>
      <c r="E30" s="10" t="s">
        <v>344</v>
      </c>
      <c r="F30" s="63"/>
      <c r="G30" s="64" t="n">
        <v>4500</v>
      </c>
      <c r="H30" s="65" t="str">
        <f aca="false">IF(F30&gt;0,G30/F30,"")</f>
        <v/>
      </c>
      <c r="I30" s="26"/>
      <c r="J30" s="62" t="s">
        <v>428</v>
      </c>
    </row>
    <row r="31" customFormat="false" ht="15" hidden="false" customHeight="false" outlineLevel="0" collapsed="false">
      <c r="B31" s="10" t="s">
        <v>429</v>
      </c>
      <c r="C31" s="10" t="s">
        <v>430</v>
      </c>
      <c r="D31" s="10" t="s">
        <v>431</v>
      </c>
      <c r="E31" s="10" t="s">
        <v>383</v>
      </c>
      <c r="F31" s="63"/>
      <c r="G31" s="64" t="n">
        <v>5000</v>
      </c>
      <c r="H31" s="65" t="str">
        <f aca="false">IF(F31&gt;0,G31/F31,"")</f>
        <v/>
      </c>
      <c r="I31" s="26"/>
      <c r="J31" s="62" t="s">
        <v>432</v>
      </c>
    </row>
    <row r="32" customFormat="false" ht="15" hidden="false" customHeight="false" outlineLevel="0" collapsed="false">
      <c r="F32" s="66" t="s">
        <v>358</v>
      </c>
      <c r="G32" s="48" t="n">
        <f aca="false">COUNT(G18:G31)</f>
        <v>14</v>
      </c>
    </row>
    <row r="33" customFormat="false" ht="15" hidden="false" customHeight="false" outlineLevel="0" collapsed="false">
      <c r="F33" s="66" t="s">
        <v>359</v>
      </c>
      <c r="G33" s="46" t="n">
        <f aca="false">AVERAGE(G18:G31)</f>
        <v>11282.1428571429</v>
      </c>
    </row>
    <row r="34" customFormat="false" ht="15" hidden="false" customHeight="false" outlineLevel="0" collapsed="false">
      <c r="F34" s="66" t="s">
        <v>360</v>
      </c>
      <c r="G34" s="46" t="n">
        <f aca="false">MEDIAN(G18:G31)</f>
        <v>12625</v>
      </c>
    </row>
    <row r="35" customFormat="false" ht="15" hidden="false" customHeight="false" outlineLevel="0" collapsed="false">
      <c r="F35" s="66" t="s">
        <v>361</v>
      </c>
      <c r="G35" s="46" t="n">
        <f aca="false">MIN(G18:G31)</f>
        <v>4500</v>
      </c>
    </row>
    <row r="36" customFormat="false" ht="15" hidden="false" customHeight="false" outlineLevel="0" collapsed="false">
      <c r="F36" s="66" t="s">
        <v>362</v>
      </c>
      <c r="G36" s="46" t="n">
        <f aca="false">MAX(G18:G31)</f>
        <v>18000</v>
      </c>
    </row>
    <row r="38" customFormat="false" ht="15" hidden="false" customHeight="false" outlineLevel="0" collapsed="false">
      <c r="B38" s="6" t="s">
        <v>433</v>
      </c>
      <c r="C38" s="7"/>
      <c r="D38" s="7"/>
      <c r="E38" s="7"/>
      <c r="F38" s="7"/>
      <c r="G38" s="7"/>
      <c r="H38" s="7"/>
      <c r="I38" s="7"/>
      <c r="J38" s="7"/>
    </row>
    <row r="39" customFormat="false" ht="15" hidden="false" customHeight="false" outlineLevel="0" collapsed="false">
      <c r="B39" s="24" t="s">
        <v>332</v>
      </c>
      <c r="C39" s="24" t="s">
        <v>333</v>
      </c>
      <c r="D39" s="24" t="s">
        <v>334</v>
      </c>
      <c r="E39" s="24" t="s">
        <v>335</v>
      </c>
      <c r="F39" s="24" t="s">
        <v>336</v>
      </c>
      <c r="G39" s="24" t="s">
        <v>434</v>
      </c>
      <c r="H39" s="24" t="s">
        <v>435</v>
      </c>
      <c r="I39" s="24" t="s">
        <v>339</v>
      </c>
      <c r="J39" s="24" t="s">
        <v>340</v>
      </c>
    </row>
    <row r="40" customFormat="false" ht="15" hidden="false" customHeight="false" outlineLevel="0" collapsed="false">
      <c r="B40" s="10" t="s">
        <v>436</v>
      </c>
      <c r="C40" s="10" t="s">
        <v>437</v>
      </c>
      <c r="D40" s="10" t="s">
        <v>343</v>
      </c>
      <c r="E40" s="10" t="s">
        <v>438</v>
      </c>
      <c r="F40" s="63"/>
      <c r="G40" s="64" t="n">
        <v>40</v>
      </c>
      <c r="H40" s="65" t="str">
        <f aca="false">IF(F40&gt;0,G40/F40,"")</f>
        <v/>
      </c>
      <c r="I40" s="26" t="s">
        <v>439</v>
      </c>
      <c r="J40" s="62" t="s">
        <v>440</v>
      </c>
    </row>
    <row r="41" customFormat="false" ht="15" hidden="false" customHeight="false" outlineLevel="0" collapsed="false">
      <c r="B41" s="10" t="s">
        <v>441</v>
      </c>
      <c r="C41" s="10" t="s">
        <v>442</v>
      </c>
      <c r="D41" s="10" t="s">
        <v>443</v>
      </c>
      <c r="E41" s="10" t="s">
        <v>438</v>
      </c>
      <c r="F41" s="63"/>
      <c r="G41" s="64" t="n">
        <v>40</v>
      </c>
      <c r="H41" s="65" t="str">
        <f aca="false">IF(F41&gt;0,G41/F41,"")</f>
        <v/>
      </c>
      <c r="I41" s="26" t="s">
        <v>444</v>
      </c>
      <c r="J41" s="62" t="s">
        <v>445</v>
      </c>
    </row>
    <row r="42" customFormat="false" ht="15" hidden="false" customHeight="false" outlineLevel="0" collapsed="false">
      <c r="B42" s="10" t="s">
        <v>446</v>
      </c>
      <c r="C42" s="10" t="s">
        <v>447</v>
      </c>
      <c r="D42" s="10" t="s">
        <v>448</v>
      </c>
      <c r="E42" s="10" t="s">
        <v>438</v>
      </c>
      <c r="F42" s="63"/>
      <c r="G42" s="64" t="n">
        <v>40</v>
      </c>
      <c r="H42" s="65" t="str">
        <f aca="false">IF(F42&gt;0,G42/F42,"")</f>
        <v/>
      </c>
      <c r="I42" s="26" t="s">
        <v>449</v>
      </c>
      <c r="J42" s="62" t="s">
        <v>450</v>
      </c>
    </row>
    <row r="43" customFormat="false" ht="15" hidden="false" customHeight="false" outlineLevel="0" collapsed="false">
      <c r="B43" s="10" t="s">
        <v>451</v>
      </c>
      <c r="C43" s="10" t="s">
        <v>452</v>
      </c>
      <c r="D43" s="10" t="s">
        <v>448</v>
      </c>
      <c r="E43" s="10" t="s">
        <v>453</v>
      </c>
      <c r="F43" s="63"/>
      <c r="G43" s="64" t="n">
        <v>49</v>
      </c>
      <c r="H43" s="65" t="str">
        <f aca="false">IF(F43&gt;0,G43/F43,"")</f>
        <v/>
      </c>
      <c r="I43" s="26" t="s">
        <v>454</v>
      </c>
      <c r="J43" s="62" t="s">
        <v>455</v>
      </c>
    </row>
    <row r="44" customFormat="false" ht="15" hidden="false" customHeight="false" outlineLevel="0" collapsed="false">
      <c r="B44" s="10" t="s">
        <v>456</v>
      </c>
      <c r="C44" s="10" t="s">
        <v>457</v>
      </c>
      <c r="D44" s="10" t="s">
        <v>448</v>
      </c>
      <c r="E44" s="10" t="s">
        <v>438</v>
      </c>
      <c r="F44" s="63"/>
      <c r="G44" s="64" t="n">
        <v>50</v>
      </c>
      <c r="H44" s="65" t="str">
        <f aca="false">IF(F44&gt;0,G44/F44,"")</f>
        <v/>
      </c>
      <c r="I44" s="26"/>
      <c r="J44" s="62" t="s">
        <v>458</v>
      </c>
    </row>
    <row r="45" customFormat="false" ht="15" hidden="false" customHeight="false" outlineLevel="0" collapsed="false">
      <c r="B45" s="10" t="s">
        <v>459</v>
      </c>
      <c r="C45" s="10" t="s">
        <v>460</v>
      </c>
      <c r="D45" s="10" t="s">
        <v>443</v>
      </c>
      <c r="E45" s="10" t="s">
        <v>438</v>
      </c>
      <c r="F45" s="63"/>
      <c r="G45" s="64" t="n">
        <v>55</v>
      </c>
      <c r="H45" s="65" t="str">
        <f aca="false">IF(F45&gt;0,G45/F45,"")</f>
        <v/>
      </c>
      <c r="I45" s="26" t="s">
        <v>461</v>
      </c>
      <c r="J45" s="62" t="s">
        <v>462</v>
      </c>
    </row>
    <row r="46" customFormat="false" ht="15" hidden="false" customHeight="false" outlineLevel="0" collapsed="false">
      <c r="B46" s="10" t="s">
        <v>463</v>
      </c>
      <c r="C46" s="10" t="s">
        <v>464</v>
      </c>
      <c r="D46" s="10" t="s">
        <v>465</v>
      </c>
      <c r="E46" s="10" t="s">
        <v>466</v>
      </c>
      <c r="F46" s="63"/>
      <c r="G46" s="64" t="n">
        <v>55</v>
      </c>
      <c r="H46" s="65" t="str">
        <f aca="false">IF(F46&gt;0,G46/F46,"")</f>
        <v/>
      </c>
      <c r="I46" s="26"/>
      <c r="J46" s="62" t="s">
        <v>467</v>
      </c>
    </row>
    <row r="47" customFormat="false" ht="15" hidden="false" customHeight="false" outlineLevel="0" collapsed="false">
      <c r="F47" s="66" t="s">
        <v>358</v>
      </c>
      <c r="G47" s="48" t="n">
        <f aca="false">COUNT(G40:G46)</f>
        <v>7</v>
      </c>
    </row>
    <row r="48" customFormat="false" ht="15" hidden="false" customHeight="false" outlineLevel="0" collapsed="false">
      <c r="F48" s="66" t="s">
        <v>359</v>
      </c>
      <c r="G48" s="46" t="n">
        <f aca="false">AVERAGE(G40:G46)</f>
        <v>47</v>
      </c>
    </row>
    <row r="49" customFormat="false" ht="15" hidden="false" customHeight="false" outlineLevel="0" collapsed="false">
      <c r="F49" s="66" t="s">
        <v>360</v>
      </c>
      <c r="G49" s="46" t="n">
        <f aca="false">MEDIAN(G40:G46)</f>
        <v>49</v>
      </c>
    </row>
    <row r="50" customFormat="false" ht="15" hidden="false" customHeight="false" outlineLevel="0" collapsed="false">
      <c r="F50" s="66" t="s">
        <v>361</v>
      </c>
      <c r="G50" s="46" t="n">
        <f aca="false">MIN(G40:G46)</f>
        <v>40</v>
      </c>
    </row>
    <row r="51" customFormat="false" ht="15" hidden="false" customHeight="false" outlineLevel="0" collapsed="false">
      <c r="F51" s="66" t="s">
        <v>362</v>
      </c>
      <c r="G51" s="46" t="n">
        <f aca="false">MAX(G40:G46)</f>
        <v>55</v>
      </c>
    </row>
    <row r="53" customFormat="false" ht="15" hidden="false" customHeight="false" outlineLevel="0" collapsed="false">
      <c r="B53" s="6" t="s">
        <v>468</v>
      </c>
      <c r="C53" s="7"/>
      <c r="D53" s="7"/>
      <c r="E53" s="7"/>
      <c r="F53" s="7"/>
      <c r="G53" s="7"/>
      <c r="H53" s="7"/>
      <c r="I53" s="7"/>
      <c r="J53" s="7"/>
    </row>
    <row r="54" customFormat="false" ht="15" hidden="false" customHeight="false" outlineLevel="0" collapsed="false">
      <c r="B54" s="24" t="s">
        <v>332</v>
      </c>
      <c r="C54" s="24" t="s">
        <v>333</v>
      </c>
      <c r="D54" s="24" t="s">
        <v>334</v>
      </c>
      <c r="E54" s="24" t="s">
        <v>335</v>
      </c>
      <c r="F54" s="24" t="s">
        <v>336</v>
      </c>
      <c r="G54" s="24" t="s">
        <v>434</v>
      </c>
      <c r="H54" s="24" t="s">
        <v>435</v>
      </c>
      <c r="I54" s="24" t="s">
        <v>339</v>
      </c>
      <c r="J54" s="24" t="s">
        <v>340</v>
      </c>
    </row>
    <row r="55" customFormat="false" ht="15" hidden="false" customHeight="false" outlineLevel="0" collapsed="false">
      <c r="B55" s="10" t="s">
        <v>469</v>
      </c>
      <c r="C55" s="10" t="s">
        <v>470</v>
      </c>
      <c r="D55" s="10" t="s">
        <v>355</v>
      </c>
      <c r="E55" s="10" t="s">
        <v>438</v>
      </c>
      <c r="F55" s="63"/>
      <c r="G55" s="64" t="n">
        <v>45</v>
      </c>
      <c r="H55" s="65" t="str">
        <f aca="false">IF(F55&gt;0,G55/F55,"")</f>
        <v/>
      </c>
      <c r="I55" s="26" t="s">
        <v>471</v>
      </c>
      <c r="J55" s="62" t="s">
        <v>472</v>
      </c>
    </row>
    <row r="56" customFormat="false" ht="15" hidden="false" customHeight="false" outlineLevel="0" collapsed="false">
      <c r="B56" s="10" t="s">
        <v>473</v>
      </c>
      <c r="C56" s="10" t="s">
        <v>474</v>
      </c>
      <c r="D56" s="10" t="s">
        <v>475</v>
      </c>
      <c r="E56" s="10" t="s">
        <v>466</v>
      </c>
      <c r="F56" s="63"/>
      <c r="G56" s="64" t="n">
        <v>45</v>
      </c>
      <c r="H56" s="65" t="str">
        <f aca="false">IF(F56&gt;0,G56/F56,"")</f>
        <v/>
      </c>
      <c r="I56" s="26" t="s">
        <v>476</v>
      </c>
      <c r="J56" s="62" t="s">
        <v>477</v>
      </c>
    </row>
    <row r="57" customFormat="false" ht="15" hidden="false" customHeight="false" outlineLevel="0" collapsed="false">
      <c r="B57" s="10" t="s">
        <v>478</v>
      </c>
      <c r="C57" s="10" t="s">
        <v>479</v>
      </c>
      <c r="D57" s="10" t="s">
        <v>475</v>
      </c>
      <c r="E57" s="10" t="s">
        <v>480</v>
      </c>
      <c r="F57" s="63"/>
      <c r="G57" s="64" t="n">
        <v>45</v>
      </c>
      <c r="H57" s="65" t="str">
        <f aca="false">IF(F57&gt;0,G57/F57,"")</f>
        <v/>
      </c>
      <c r="I57" s="26" t="s">
        <v>481</v>
      </c>
      <c r="J57" s="62" t="s">
        <v>482</v>
      </c>
    </row>
    <row r="58" customFormat="false" ht="15" hidden="false" customHeight="false" outlineLevel="0" collapsed="false">
      <c r="B58" s="10" t="s">
        <v>483</v>
      </c>
      <c r="C58" s="10" t="s">
        <v>354</v>
      </c>
      <c r="D58" s="10" t="s">
        <v>355</v>
      </c>
      <c r="E58" s="10" t="s">
        <v>484</v>
      </c>
      <c r="F58" s="63" t="n">
        <v>4.8</v>
      </c>
      <c r="G58" s="64" t="n">
        <v>50</v>
      </c>
      <c r="H58" s="65" t="n">
        <f aca="false">IF(F58&gt;0,G58/F58,"")</f>
        <v>10.4166666666667</v>
      </c>
      <c r="I58" s="26"/>
      <c r="J58" s="62" t="s">
        <v>485</v>
      </c>
    </row>
    <row r="59" customFormat="false" ht="15" hidden="false" customHeight="false" outlineLevel="0" collapsed="false">
      <c r="B59" s="10" t="s">
        <v>486</v>
      </c>
      <c r="C59" s="10" t="s">
        <v>354</v>
      </c>
      <c r="D59" s="10" t="s">
        <v>355</v>
      </c>
      <c r="E59" s="10" t="s">
        <v>438</v>
      </c>
      <c r="F59" s="63"/>
      <c r="G59" s="64" t="n">
        <v>30</v>
      </c>
      <c r="H59" s="65" t="str">
        <f aca="false">IF(F59&gt;0,G59/F59,"")</f>
        <v/>
      </c>
      <c r="I59" s="26"/>
      <c r="J59" s="62" t="s">
        <v>487</v>
      </c>
    </row>
    <row r="60" customFormat="false" ht="15" hidden="false" customHeight="false" outlineLevel="0" collapsed="false">
      <c r="B60" s="10" t="s">
        <v>488</v>
      </c>
      <c r="C60" s="10" t="s">
        <v>489</v>
      </c>
      <c r="D60" s="10" t="s">
        <v>355</v>
      </c>
      <c r="E60" s="10" t="s">
        <v>438</v>
      </c>
      <c r="F60" s="63"/>
      <c r="G60" s="64" t="n">
        <v>30</v>
      </c>
      <c r="H60" s="65" t="str">
        <f aca="false">IF(F60&gt;0,G60/F60,"")</f>
        <v/>
      </c>
      <c r="I60" s="26" t="s">
        <v>490</v>
      </c>
      <c r="J60" s="62" t="s">
        <v>491</v>
      </c>
    </row>
    <row r="61" customFormat="false" ht="15" hidden="false" customHeight="false" outlineLevel="0" collapsed="false">
      <c r="B61" s="10" t="s">
        <v>492</v>
      </c>
      <c r="C61" s="10" t="s">
        <v>493</v>
      </c>
      <c r="D61" s="10" t="s">
        <v>355</v>
      </c>
      <c r="E61" s="10" t="s">
        <v>438</v>
      </c>
      <c r="F61" s="63"/>
      <c r="G61" s="64" t="n">
        <v>25</v>
      </c>
      <c r="H61" s="65" t="str">
        <f aca="false">IF(F61&gt;0,G61/F61,"")</f>
        <v/>
      </c>
      <c r="I61" s="26"/>
      <c r="J61" s="62" t="s">
        <v>494</v>
      </c>
    </row>
    <row r="62" customFormat="false" ht="15" hidden="false" customHeight="false" outlineLevel="0" collapsed="false">
      <c r="B62" s="10" t="s">
        <v>495</v>
      </c>
      <c r="C62" s="10" t="s">
        <v>496</v>
      </c>
      <c r="D62" s="10" t="s">
        <v>497</v>
      </c>
      <c r="E62" s="10" t="s">
        <v>498</v>
      </c>
      <c r="F62" s="63"/>
      <c r="G62" s="64" t="n">
        <v>40</v>
      </c>
      <c r="H62" s="65" t="str">
        <f aca="false">IF(F62&gt;0,G62/F62,"")</f>
        <v/>
      </c>
      <c r="I62" s="26"/>
      <c r="J62" s="62" t="s">
        <v>499</v>
      </c>
    </row>
    <row r="63" customFormat="false" ht="15" hidden="false" customHeight="false" outlineLevel="0" collapsed="false">
      <c r="B63" s="10" t="s">
        <v>500</v>
      </c>
      <c r="C63" s="10" t="s">
        <v>423</v>
      </c>
      <c r="D63" s="10" t="s">
        <v>424</v>
      </c>
      <c r="E63" s="10" t="s">
        <v>438</v>
      </c>
      <c r="F63" s="63"/>
      <c r="G63" s="64" t="n">
        <v>40</v>
      </c>
      <c r="H63" s="65" t="str">
        <f aca="false">IF(F63&gt;0,G63/F63,"")</f>
        <v/>
      </c>
      <c r="I63" s="26"/>
      <c r="J63" s="62" t="s">
        <v>501</v>
      </c>
    </row>
    <row r="64" customFormat="false" ht="15" hidden="false" customHeight="false" outlineLevel="0" collapsed="false">
      <c r="B64" s="10" t="s">
        <v>502</v>
      </c>
      <c r="C64" s="10" t="s">
        <v>423</v>
      </c>
      <c r="D64" s="10" t="s">
        <v>424</v>
      </c>
      <c r="E64" s="10" t="s">
        <v>438</v>
      </c>
      <c r="F64" s="63"/>
      <c r="G64" s="64" t="n">
        <v>30</v>
      </c>
      <c r="H64" s="65" t="str">
        <f aca="false">IF(F64&gt;0,G64/F64,"")</f>
        <v/>
      </c>
      <c r="I64" s="26" t="s">
        <v>503</v>
      </c>
      <c r="J64" s="62" t="s">
        <v>504</v>
      </c>
    </row>
    <row r="65" customFormat="false" ht="15" hidden="false" customHeight="false" outlineLevel="0" collapsed="false">
      <c r="B65" s="10" t="s">
        <v>505</v>
      </c>
      <c r="C65" s="10" t="s">
        <v>423</v>
      </c>
      <c r="D65" s="10" t="s">
        <v>424</v>
      </c>
      <c r="E65" s="10" t="s">
        <v>438</v>
      </c>
      <c r="F65" s="63"/>
      <c r="G65" s="64" t="n">
        <v>35</v>
      </c>
      <c r="H65" s="65" t="str">
        <f aca="false">IF(F65&gt;0,G65/F65,"")</f>
        <v/>
      </c>
      <c r="I65" s="26"/>
      <c r="J65" s="62" t="s">
        <v>506</v>
      </c>
    </row>
    <row r="66" customFormat="false" ht="15" hidden="false" customHeight="false" outlineLevel="0" collapsed="false">
      <c r="B66" s="10" t="s">
        <v>507</v>
      </c>
      <c r="C66" s="10" t="s">
        <v>423</v>
      </c>
      <c r="D66" s="10" t="s">
        <v>424</v>
      </c>
      <c r="E66" s="10" t="s">
        <v>438</v>
      </c>
      <c r="F66" s="63"/>
      <c r="G66" s="64" t="n">
        <v>30</v>
      </c>
      <c r="H66" s="65" t="str">
        <f aca="false">IF(F66&gt;0,G66/F66,"")</f>
        <v/>
      </c>
      <c r="I66" s="26"/>
      <c r="J66" s="62" t="s">
        <v>508</v>
      </c>
    </row>
    <row r="67" customFormat="false" ht="15" hidden="false" customHeight="false" outlineLevel="0" collapsed="false">
      <c r="B67" s="10" t="s">
        <v>509</v>
      </c>
      <c r="C67" s="10" t="s">
        <v>423</v>
      </c>
      <c r="D67" s="10" t="s">
        <v>424</v>
      </c>
      <c r="E67" s="10" t="s">
        <v>438</v>
      </c>
      <c r="F67" s="63"/>
      <c r="G67" s="64" t="n">
        <v>60</v>
      </c>
      <c r="H67" s="65" t="str">
        <f aca="false">IF(F67&gt;0,G67/F67,"")</f>
        <v/>
      </c>
      <c r="I67" s="26"/>
      <c r="J67" s="62" t="s">
        <v>510</v>
      </c>
    </row>
    <row r="68" customFormat="false" ht="15" hidden="false" customHeight="false" outlineLevel="0" collapsed="false">
      <c r="F68" s="66" t="s">
        <v>358</v>
      </c>
      <c r="G68" s="48" t="n">
        <f aca="false">COUNT(G55:G67)</f>
        <v>13</v>
      </c>
    </row>
    <row r="69" customFormat="false" ht="15" hidden="false" customHeight="false" outlineLevel="0" collapsed="false">
      <c r="F69" s="66" t="s">
        <v>359</v>
      </c>
      <c r="G69" s="46" t="n">
        <f aca="false">AVERAGE(G55:G67)</f>
        <v>38.8461538461539</v>
      </c>
    </row>
    <row r="70" customFormat="false" ht="15" hidden="false" customHeight="false" outlineLevel="0" collapsed="false">
      <c r="F70" s="66" t="s">
        <v>360</v>
      </c>
      <c r="G70" s="46" t="n">
        <f aca="false">MEDIAN(G55:G67)</f>
        <v>40</v>
      </c>
    </row>
    <row r="71" customFormat="false" ht="15" hidden="false" customHeight="false" outlineLevel="0" collapsed="false">
      <c r="F71" s="66" t="s">
        <v>361</v>
      </c>
      <c r="G71" s="46" t="n">
        <f aca="false">MIN(G55:G67)</f>
        <v>25</v>
      </c>
    </row>
    <row r="72" customFormat="false" ht="15" hidden="false" customHeight="false" outlineLevel="0" collapsed="false">
      <c r="F72" s="66" t="s">
        <v>362</v>
      </c>
      <c r="G72" s="46" t="n">
        <f aca="false">MAX(G55:G67)</f>
        <v>60</v>
      </c>
    </row>
    <row r="74" customFormat="false" ht="15" hidden="false" customHeight="false" outlineLevel="0" collapsed="false">
      <c r="B74" s="6" t="s">
        <v>511</v>
      </c>
      <c r="C74" s="7"/>
      <c r="D74" s="7"/>
      <c r="E74" s="7"/>
      <c r="F74" s="7"/>
      <c r="G74" s="7"/>
      <c r="H74" s="7"/>
      <c r="I74" s="7"/>
      <c r="J74" s="7"/>
    </row>
    <row r="75" customFormat="false" ht="15" hidden="false" customHeight="false" outlineLevel="0" collapsed="false">
      <c r="B75" s="10" t="s">
        <v>512</v>
      </c>
      <c r="G75" s="53" t="n">
        <f aca="false">G12</f>
        <v>11900</v>
      </c>
    </row>
    <row r="76" customFormat="false" ht="15" hidden="false" customHeight="false" outlineLevel="0" collapsed="false">
      <c r="B76" s="10" t="s">
        <v>513</v>
      </c>
      <c r="G76" s="53" t="n">
        <f aca="false">G34</f>
        <v>12625</v>
      </c>
    </row>
    <row r="77" customFormat="false" ht="15" hidden="false" customHeight="false" outlineLevel="0" collapsed="false">
      <c r="B77" s="10" t="s">
        <v>514</v>
      </c>
      <c r="G77" s="67" t="n">
        <f aca="false">Tasacion</f>
        <v>7078.45</v>
      </c>
    </row>
    <row r="78" customFormat="false" ht="15" hidden="false" customHeight="false" outlineLevel="0" collapsed="false">
      <c r="B78" s="10" t="s">
        <v>515</v>
      </c>
      <c r="G78" s="67" t="n">
        <f aca="false">PrecioVenta</f>
        <v>10000</v>
      </c>
    </row>
    <row r="79" customFormat="false" ht="15" hidden="false" customHeight="false" outlineLevel="0" collapsed="false">
      <c r="B79" s="10" t="s">
        <v>516</v>
      </c>
      <c r="G79" s="53" t="n">
        <f aca="false">G49</f>
        <v>49</v>
      </c>
    </row>
    <row r="80" customFormat="false" ht="15" hidden="false" customHeight="false" outlineLevel="0" collapsed="false">
      <c r="B80" s="10" t="s">
        <v>517</v>
      </c>
      <c r="G80" s="53" t="n">
        <f aca="false">G70</f>
        <v>40</v>
      </c>
    </row>
    <row r="81" customFormat="false" ht="15" hidden="false" customHeight="false" outlineLevel="0" collapsed="false">
      <c r="B81" s="10" t="s">
        <v>518</v>
      </c>
      <c r="G81" s="67" t="n">
        <f aca="false">Renta</f>
        <v>45</v>
      </c>
    </row>
    <row r="82" customFormat="false" ht="15" hidden="false" customHeight="false" outlineLevel="0" collapsed="false">
      <c r="B82" s="10" t="s">
        <v>519</v>
      </c>
      <c r="G82" s="68" t="n">
        <f aca="false">Renta*12/PrecioVenta</f>
        <v>0.054</v>
      </c>
    </row>
    <row r="84" customFormat="false" ht="42" hidden="false" customHeight="true" outlineLevel="0" collapsed="false">
      <c r="B84" s="69" t="s">
        <v>520</v>
      </c>
      <c r="C84" s="69"/>
      <c r="D84" s="69"/>
      <c r="E84" s="69"/>
      <c r="F84" s="69"/>
      <c r="G84" s="69"/>
      <c r="H84" s="69"/>
      <c r="I84" s="69"/>
      <c r="J84" s="69"/>
    </row>
  </sheetData>
  <mergeCells count="1">
    <mergeCell ref="B84:J84"/>
  </mergeCells>
  <hyperlinks>
    <hyperlink ref="J7" r:id="rId1" display="https://www.idealista.com/inmueble/112744803/?utm_medium=generativeAI&amp;utm_campaign=appChatgpt&amp;utm_creation=link&amp;utm_source=idGpt&amp;utm_project=leadGeneration&amp;utm_link=inChat_detail"/>
    <hyperlink ref="J8" r:id="rId2" display="https://www.idealista.com/inmueble/104181518/?utm_medium=generativeAI&amp;utm_campaign=appChatgpt&amp;utm_creation=link&amp;utm_source=idGpt&amp;utm_project=leadGeneration&amp;utm_link=inChat_detail"/>
    <hyperlink ref="J9" r:id="rId3" display="https://www.idealista.com/inmueble/102202705/?utm_medium=generativeAI&amp;utm_campaign=appChatgpt&amp;utm_creation=link&amp;utm_source=idGpt&amp;utm_project=leadGeneration&amp;utm_link=inChat_detail"/>
    <hyperlink ref="J18" r:id="rId4" display="https://www.idealista.com/inmueble/112644449/?utm_medium=generativeAI&amp;utm_campaign=appChatgpt&amp;utm_creation=link&amp;utm_source=idGpt&amp;utm_project=leadGeneration&amp;utm_link=inChat_detail"/>
    <hyperlink ref="J19" r:id="rId5" display="https://www.idealista.com/inmueble/112732191/?utm_medium=generativeAI&amp;utm_campaign=appChatgpt&amp;utm_creation=link&amp;utm_source=idGpt&amp;utm_project=leadGeneration&amp;utm_link=inChat_detail"/>
    <hyperlink ref="J20" r:id="rId6" display="https://www.idealista.com/inmueble/111806571/?utm_medium=generativeAI&amp;utm_campaign=appChatgpt&amp;utm_creation=link&amp;utm_source=idGpt&amp;utm_project=leadGeneration&amp;utm_link=inChat_detail"/>
    <hyperlink ref="J21" r:id="rId7" display="https://www.idealista.com/inmueble/112521156/?utm_medium=generativeAI&amp;utm_campaign=appChatgpt&amp;utm_creation=link&amp;utm_source=idGpt&amp;utm_project=leadGeneration&amp;utm_link=inChat_detail"/>
    <hyperlink ref="J22" r:id="rId8" display="https://www.idealista.com/inmueble/111834117/?utm_medium=generativeAI&amp;utm_campaign=appChatgpt&amp;utm_creation=link&amp;utm_source=idGpt&amp;utm_project=leadGeneration&amp;utm_link=inChat_detail"/>
    <hyperlink ref="J23" r:id="rId9" display="https://www.idealista.com/inmueble/100622617/?utm_medium=generativeAI&amp;utm_campaign=appChatgpt&amp;utm_creation=link&amp;utm_source=idGpt&amp;utm_project=leadGeneration&amp;utm_link=inChat_detail"/>
    <hyperlink ref="J24" r:id="rId10" display="https://www.idealista.com/inmueble/105263661/?utm_medium=generativeAI&amp;utm_campaign=appChatgpt&amp;utm_creation=link&amp;utm_source=idGpt&amp;utm_project=leadGeneration&amp;utm_link=inChat_detail"/>
    <hyperlink ref="J25" r:id="rId11" display="https://www.idealista.com/inmueble/109368921/?utm_medium=generativeAI&amp;utm_campaign=appChatgpt&amp;utm_creation=link&amp;utm_source=idGpt&amp;utm_project=leadGeneration&amp;utm_link=inChat_detail"/>
    <hyperlink ref="J26" r:id="rId12" display="https://www.idealista.com/inmueble/107119263/?utm_medium=generativeAI&amp;utm_campaign=appChatgpt&amp;utm_creation=link&amp;utm_source=idGpt&amp;utm_project=leadGeneration&amp;utm_link=inChat_detail"/>
    <hyperlink ref="J27" r:id="rId13" display="https://www.idealista.com/inmueble/112181517/?utm_medium=generativeAI&amp;utm_campaign=appChatgpt&amp;utm_creation=link&amp;utm_source=idGpt&amp;utm_project=leadGeneration&amp;utm_link=inChat_detail"/>
    <hyperlink ref="J28" r:id="rId14" display="https://www.idealista.com/inmueble/105870147/?utm_medium=generativeAI&amp;utm_campaign=appChatgpt&amp;utm_creation=link&amp;utm_source=idGpt&amp;utm_project=leadGeneration&amp;utm_link=inChat_detail"/>
    <hyperlink ref="J29" r:id="rId15" display="https://www.idealista.com/inmueble/111785329/?utm_medium=generativeAI&amp;utm_campaign=appChatgpt&amp;utm_creation=link&amp;utm_source=idGpt&amp;utm_project=leadGeneration&amp;utm_link=inChat_detail"/>
    <hyperlink ref="J30" r:id="rId16" display="https://www.idealista.com/inmueble/106975276/?utm_medium=generativeAI&amp;utm_campaign=appChatgpt&amp;utm_creation=link&amp;utm_source=idGpt&amp;utm_project=leadGeneration&amp;utm_link=inChat_detail"/>
    <hyperlink ref="J31" r:id="rId17" display="https://www.idealista.com/inmueble/29257022/?utm_medium=generativeAI&amp;utm_campaign=appChatgpt&amp;utm_creation=link&amp;utm_source=idGpt&amp;utm_project=leadGeneration&amp;utm_link=inChat_detail"/>
    <hyperlink ref="J40" r:id="rId18" display="https://www.idealista.com/inmueble/82917753/?utm_medium=generativeAI&amp;utm_campaign=appChatgpt&amp;utm_creation=link&amp;utm_source=idGpt&amp;utm_project=leadGeneration&amp;utm_link=inChat_detail"/>
    <hyperlink ref="J41" r:id="rId19" display="https://www.idealista.com/inmueble/89222824/?utm_medium=generativeAI&amp;utm_campaign=appChatgpt&amp;utm_creation=link&amp;utm_source=idGpt&amp;utm_project=leadGeneration&amp;utm_link=inChat_detail"/>
    <hyperlink ref="J42" r:id="rId20" display="https://www.idealista.com/inmueble/96520950/?utm_medium=generativeAI&amp;utm_campaign=appChatgpt&amp;utm_creation=link&amp;utm_source=idGpt&amp;utm_project=leadGeneration&amp;utm_link=inChat_detail"/>
    <hyperlink ref="J43" r:id="rId21" display="https://www.idealista.com/inmueble/111286433/?utm_medium=generativeAI&amp;utm_campaign=appChatgpt&amp;utm_creation=link&amp;utm_source=idGpt&amp;utm_project=leadGeneration&amp;utm_link=inChat_detail"/>
    <hyperlink ref="J44" r:id="rId22" display="https://www.idealista.com/inmueble/84436084/?utm_medium=generativeAI&amp;utm_campaign=appChatgpt&amp;utm_creation=link&amp;utm_source=idGpt&amp;utm_project=leadGeneration&amp;utm_link=inChat_detail"/>
    <hyperlink ref="J45" r:id="rId23" display="https://www.idealista.com/inmueble/87211204/?utm_medium=generativeAI&amp;utm_campaign=appChatgpt&amp;utm_creation=link&amp;utm_source=idGpt&amp;utm_project=leadGeneration&amp;utm_link=inChat_detail"/>
    <hyperlink ref="J46" r:id="rId24" display="https://www.idealista.com/inmueble/86864183/?utm_medium=generativeAI&amp;utm_campaign=appChatgpt&amp;utm_creation=link&amp;utm_source=idGpt&amp;utm_project=leadGeneration&amp;utm_link=inChat_detail"/>
    <hyperlink ref="J55" r:id="rId25" display="https://www.idealista.com/inmueble/38430792/?utm_medium=generativeAI&amp;utm_campaign=appChatgpt&amp;utm_creation=link&amp;utm_source=idGpt&amp;utm_project=leadGeneration&amp;utm_link=inChat_detail"/>
    <hyperlink ref="J56" r:id="rId26" display="https://www.idealista.com/inmueble/92276326/?utm_medium=generativeAI&amp;utm_campaign=appChatgpt&amp;utm_creation=link&amp;utm_source=idGpt&amp;utm_project=leadGeneration&amp;utm_link=inChat_detail"/>
    <hyperlink ref="J57" r:id="rId27" display="https://www.idealista.com/inmueble/31113331/?utm_medium=generativeAI&amp;utm_campaign=appChatgpt&amp;utm_creation=link&amp;utm_source=idGpt&amp;utm_project=leadGeneration&amp;utm_link=inChat_detail"/>
    <hyperlink ref="J58" r:id="rId28" display="https://www.idealista.com/inmueble/84484073/?utm_medium=generativeAI&amp;utm_campaign=appChatgpt&amp;utm_creation=link&amp;utm_source=idGpt&amp;utm_project=leadGeneration&amp;utm_link=inChat_detail"/>
    <hyperlink ref="J59" r:id="rId29" display="https://www.idealista.com/inmueble/85885052/?utm_medium=generativeAI&amp;utm_campaign=appChatgpt&amp;utm_creation=link&amp;utm_source=idGpt&amp;utm_project=leadGeneration&amp;utm_link=inChat_detail"/>
    <hyperlink ref="J60" r:id="rId30" display="https://www.idealista.com/inmueble/93212844/?utm_medium=generativeAI&amp;utm_campaign=appChatgpt&amp;utm_creation=link&amp;utm_source=idGpt&amp;utm_project=leadGeneration&amp;utm_link=inChat_detail"/>
    <hyperlink ref="J61" r:id="rId31" display="https://www.idealista.com/inmueble/94516135/?utm_medium=generativeAI&amp;utm_campaign=appChatgpt&amp;utm_creation=link&amp;utm_source=idGpt&amp;utm_project=leadGeneration&amp;utm_link=inChat_detail"/>
    <hyperlink ref="J62" r:id="rId32" display="https://www.idealista.com/inmueble/103494976/?utm_medium=generativeAI&amp;utm_campaign=appChatgpt&amp;utm_creation=link&amp;utm_source=idGpt&amp;utm_project=leadGeneration&amp;utm_link=inChat_detail"/>
    <hyperlink ref="J63" r:id="rId33" display="https://www.idealista.com/inmueble/107688502/?utm_medium=generativeAI&amp;utm_campaign=appChatgpt&amp;utm_creation=link&amp;utm_source=idGpt&amp;utm_project=leadGeneration&amp;utm_link=inChat_detail"/>
    <hyperlink ref="J64" r:id="rId34" display="https://www.idealista.com/inmueble/109160656/?utm_medium=generativeAI&amp;utm_campaign=appChatgpt&amp;utm_creation=link&amp;utm_source=idGpt&amp;utm_project=leadGeneration&amp;utm_link=inChat_detail"/>
    <hyperlink ref="J65" r:id="rId35" display="https://www.idealista.com/inmueble/97438138/?utm_medium=generativeAI&amp;utm_campaign=appChatgpt&amp;utm_creation=link&amp;utm_source=idGpt&amp;utm_project=leadGeneration&amp;utm_link=inChat_detail"/>
    <hyperlink ref="J66" r:id="rId36" display="https://www.idealista.com/inmueble/111143270/?utm_medium=generativeAI&amp;utm_campaign=appChatgpt&amp;utm_creation=link&amp;utm_source=idGpt&amp;utm_project=leadGeneration&amp;utm_link=inChat_detail"/>
    <hyperlink ref="J67" r:id="rId37" display="https://www.idealista.com/inmueble/105349791/?utm_medium=generativeAI&amp;utm_campaign=appChatgpt&amp;utm_creation=link&amp;utm_source=idGpt&amp;utm_project=leadGeneration&amp;utm_link=inChat_detai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true"/>
  </sheetPr>
  <dimension ref="B2:AA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7" topLeftCell="D28" activePane="bottomRight" state="frozen"/>
      <selection pane="topLeft" activeCell="A1" activeCellId="0" sqref="A1"/>
      <selection pane="topRight" activeCell="D1" activeCellId="0" sqref="D1"/>
      <selection pane="bottomLeft" activeCell="A28" activeCellId="0" sqref="A2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4"/>
    <col collapsed="false" customWidth="true" hidden="false" outlineLevel="0" max="3" min="3" style="0" width="14"/>
    <col collapsed="false" customWidth="true" hidden="false" outlineLevel="0" max="27" min="4" style="0" width="10.51"/>
  </cols>
  <sheetData>
    <row r="2" customFormat="false" ht="19.7" hidden="false" customHeight="false" outlineLevel="0" collapsed="false">
      <c r="B2" s="1" t="s">
        <v>521</v>
      </c>
    </row>
    <row r="3" customFormat="false" ht="15" hidden="false" customHeight="false" outlineLevel="0" collapsed="false">
      <c r="B3" s="2" t="s">
        <v>522</v>
      </c>
    </row>
    <row r="4" customFormat="false" ht="15" hidden="false" customHeight="false" outlineLevel="0" collapsed="false">
      <c r="B4" s="3" t="s">
        <v>2</v>
      </c>
      <c r="C4" s="70" t="str">
        <f aca="false">NombreEscenario</f>
        <v>Base</v>
      </c>
    </row>
    <row r="6" customFormat="false" ht="15" hidden="false" customHeight="false" outlineLevel="0" collapsed="false">
      <c r="B6" s="71" t="s">
        <v>523</v>
      </c>
    </row>
    <row r="7" customFormat="false" ht="15" hidden="false" customHeight="false" outlineLevel="0" collapsed="false">
      <c r="B7" s="10" t="s">
        <v>8</v>
      </c>
      <c r="C7" s="67" t="n">
        <f aca="false">Puja</f>
        <v>5500</v>
      </c>
      <c r="E7" s="3" t="s">
        <v>524</v>
      </c>
    </row>
    <row r="8" customFormat="false" ht="15" hidden="false" customHeight="false" outlineLevel="0" collapsed="false">
      <c r="B8" s="10" t="s">
        <v>12</v>
      </c>
      <c r="C8" s="67" t="n">
        <f aca="false">ImpuestoAdq</f>
        <v>495.4915</v>
      </c>
      <c r="E8" s="5" t="s">
        <v>525</v>
      </c>
    </row>
    <row r="9" customFormat="false" ht="15" hidden="false" customHeight="false" outlineLevel="0" collapsed="false">
      <c r="B9" s="10" t="s">
        <v>526</v>
      </c>
      <c r="C9" s="67" t="n">
        <f aca="false">CostesFijosAdq</f>
        <v>1020</v>
      </c>
      <c r="E9" s="5" t="s">
        <v>527</v>
      </c>
    </row>
    <row r="10" customFormat="false" ht="15" hidden="false" customHeight="false" outlineLevel="0" collapsed="false">
      <c r="B10" s="10" t="s">
        <v>528</v>
      </c>
      <c r="C10" s="67" t="n">
        <f aca="false">CosteTenenciaFlip</f>
        <v>66.6666666666667</v>
      </c>
      <c r="E10" s="5" t="s">
        <v>529</v>
      </c>
    </row>
    <row r="11" customFormat="false" ht="15" hidden="false" customHeight="false" outlineLevel="0" collapsed="false">
      <c r="B11" s="3" t="s">
        <v>530</v>
      </c>
      <c r="C11" s="72" t="n">
        <f aca="false">-SUM(C31:C37)</f>
        <v>7082.15816666667</v>
      </c>
      <c r="E11" s="5" t="s">
        <v>531</v>
      </c>
    </row>
    <row r="12" customFormat="false" ht="15" hidden="false" customHeight="false" outlineLevel="0" collapsed="false">
      <c r="B12" s="10" t="s">
        <v>27</v>
      </c>
      <c r="C12" s="53" t="n">
        <f aca="false">C38</f>
        <v>9085.15</v>
      </c>
      <c r="E12" s="5" t="s">
        <v>532</v>
      </c>
    </row>
    <row r="13" customFormat="false" ht="15" hidden="false" customHeight="false" outlineLevel="0" collapsed="false">
      <c r="B13" s="3" t="s">
        <v>29</v>
      </c>
      <c r="C13" s="72" t="n">
        <f aca="false">C39</f>
        <v>2002.99183333333</v>
      </c>
    </row>
    <row r="14" customFormat="false" ht="15" hidden="false" customHeight="false" outlineLevel="0" collapsed="false">
      <c r="B14" s="10" t="s">
        <v>533</v>
      </c>
      <c r="C14" s="53" t="n">
        <f aca="false">C40</f>
        <v>-380.568448333333</v>
      </c>
    </row>
    <row r="15" customFormat="false" ht="15" hidden="false" customHeight="false" outlineLevel="0" collapsed="false">
      <c r="B15" s="3" t="s">
        <v>31</v>
      </c>
      <c r="C15" s="72" t="n">
        <f aca="false">C41</f>
        <v>1622.423385</v>
      </c>
    </row>
    <row r="16" customFormat="false" ht="15" hidden="false" customHeight="false" outlineLevel="0" collapsed="false">
      <c r="B16" s="3" t="s">
        <v>33</v>
      </c>
      <c r="C16" s="73" t="n">
        <f aca="false">IF(C11&gt;0,C13/C11,0)</f>
        <v>0.282822239520255</v>
      </c>
    </row>
    <row r="17" customFormat="false" ht="15" hidden="false" customHeight="false" outlineLevel="0" collapsed="false">
      <c r="B17" s="10" t="s">
        <v>534</v>
      </c>
      <c r="C17" s="68" t="n">
        <f aca="false">IF(C11&gt;0,C15/C11,0)</f>
        <v>0.229086014011407</v>
      </c>
    </row>
    <row r="18" customFormat="false" ht="15" hidden="false" customHeight="false" outlineLevel="0" collapsed="false">
      <c r="B18" s="10" t="s">
        <v>535</v>
      </c>
      <c r="C18" s="74" t="n">
        <f aca="false">IF(C11&gt;0,(C11+C15)/C11,0)</f>
        <v>1.22908601401141</v>
      </c>
    </row>
    <row r="19" customFormat="false" ht="15" hidden="false" customHeight="false" outlineLevel="0" collapsed="false">
      <c r="B19" s="10" t="s">
        <v>536</v>
      </c>
      <c r="C19" s="75" t="n">
        <f aca="false">MesVenta</f>
        <v>8</v>
      </c>
    </row>
    <row r="20" customFormat="false" ht="15" hidden="false" customHeight="false" outlineLevel="0" collapsed="false">
      <c r="B20" s="3" t="s">
        <v>35</v>
      </c>
      <c r="C20" s="73" t="n">
        <f aca="false">(1+IRR(D39:AA39,0.02))^12-1</f>
        <v>0.582395004324587</v>
      </c>
    </row>
    <row r="21" customFormat="false" ht="15" hidden="false" customHeight="false" outlineLevel="0" collapsed="false">
      <c r="B21" s="10" t="s">
        <v>537</v>
      </c>
      <c r="C21" s="68" t="n">
        <f aca="false">(1+IRR(D41:AA41,0.02))^12-1</f>
        <v>0.462771168860102</v>
      </c>
    </row>
    <row r="22" customFormat="false" ht="15" hidden="false" customHeight="false" outlineLevel="0" collapsed="false">
      <c r="B22" s="10" t="s">
        <v>538</v>
      </c>
      <c r="C22" s="53" t="n">
        <f aca="false">-MIN(D42:AA42)</f>
        <v>7068.82483333333</v>
      </c>
    </row>
    <row r="23" customFormat="false" ht="15" hidden="false" customHeight="false" outlineLevel="0" collapsed="false">
      <c r="B23" s="10" t="s">
        <v>539</v>
      </c>
      <c r="C23" s="76" t="str">
        <f aca="false">IF(ABS(C13-(VentaNeta-Puja-ImpuestoAdq-CostesFijosAdq-CosteTenenciaFlip))&lt;0.01,"OK","REVISAR")</f>
        <v>OK</v>
      </c>
    </row>
    <row r="24" customFormat="false" ht="15" hidden="false" customHeight="false" outlineLevel="0" collapsed="false">
      <c r="B24" s="10" t="s">
        <v>540</v>
      </c>
      <c r="C24" s="76" t="str">
        <f aca="false">IF(MesVenta&lt;=23,"OK","AMPLIAR HORIZONTE")</f>
        <v>OK</v>
      </c>
    </row>
    <row r="26" customFormat="false" ht="15" hidden="false" customHeight="false" outlineLevel="0" collapsed="false">
      <c r="B26" s="71" t="s">
        <v>541</v>
      </c>
    </row>
    <row r="27" customFormat="false" ht="15" hidden="false" customHeight="false" outlineLevel="0" collapsed="false">
      <c r="B27" s="24" t="s">
        <v>542</v>
      </c>
      <c r="C27" s="24" t="s">
        <v>543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 customFormat="false" ht="15" hidden="false" customHeight="false" outlineLevel="0" collapsed="false">
      <c r="B28" s="3" t="s">
        <v>544</v>
      </c>
      <c r="D28" s="77" t="n">
        <v>0</v>
      </c>
      <c r="E28" s="78" t="n">
        <f aca="false">D28+1</f>
        <v>1</v>
      </c>
      <c r="F28" s="78" t="n">
        <f aca="false">E28+1</f>
        <v>2</v>
      </c>
      <c r="G28" s="78" t="n">
        <f aca="false">F28+1</f>
        <v>3</v>
      </c>
      <c r="H28" s="78" t="n">
        <f aca="false">G28+1</f>
        <v>4</v>
      </c>
      <c r="I28" s="78" t="n">
        <f aca="false">H28+1</f>
        <v>5</v>
      </c>
      <c r="J28" s="78" t="n">
        <f aca="false">I28+1</f>
        <v>6</v>
      </c>
      <c r="K28" s="78" t="n">
        <f aca="false">J28+1</f>
        <v>7</v>
      </c>
      <c r="L28" s="78" t="n">
        <f aca="false">K28+1</f>
        <v>8</v>
      </c>
      <c r="M28" s="78" t="n">
        <f aca="false">L28+1</f>
        <v>9</v>
      </c>
      <c r="N28" s="78" t="n">
        <f aca="false">M28+1</f>
        <v>10</v>
      </c>
      <c r="O28" s="78" t="n">
        <f aca="false">N28+1</f>
        <v>11</v>
      </c>
      <c r="P28" s="78" t="n">
        <f aca="false">O28+1</f>
        <v>12</v>
      </c>
      <c r="Q28" s="78" t="n">
        <f aca="false">P28+1</f>
        <v>13</v>
      </c>
      <c r="R28" s="78" t="n">
        <f aca="false">Q28+1</f>
        <v>14</v>
      </c>
      <c r="S28" s="78" t="n">
        <f aca="false">R28+1</f>
        <v>15</v>
      </c>
      <c r="T28" s="78" t="n">
        <f aca="false">S28+1</f>
        <v>16</v>
      </c>
      <c r="U28" s="78" t="n">
        <f aca="false">T28+1</f>
        <v>17</v>
      </c>
      <c r="V28" s="78" t="n">
        <f aca="false">U28+1</f>
        <v>18</v>
      </c>
      <c r="W28" s="78" t="n">
        <f aca="false">V28+1</f>
        <v>19</v>
      </c>
      <c r="X28" s="78" t="n">
        <f aca="false">W28+1</f>
        <v>20</v>
      </c>
      <c r="Y28" s="78" t="n">
        <f aca="false">X28+1</f>
        <v>21</v>
      </c>
      <c r="Z28" s="78" t="n">
        <f aca="false">Y28+1</f>
        <v>22</v>
      </c>
      <c r="AA28" s="78" t="n">
        <f aca="false">Z28+1</f>
        <v>23</v>
      </c>
    </row>
    <row r="29" customFormat="false" ht="15" hidden="false" customHeight="false" outlineLevel="0" collapsed="false">
      <c r="B29" s="3" t="s">
        <v>545</v>
      </c>
      <c r="D29" s="79" t="n">
        <f aca="false">EDATE(FechaCierre,D$28)</f>
        <v>46315</v>
      </c>
      <c r="E29" s="79" t="n">
        <f aca="false">EDATE(FechaCierre,E$28)</f>
        <v>46346</v>
      </c>
      <c r="F29" s="79" t="n">
        <f aca="false">EDATE(FechaCierre,F$28)</f>
        <v>46376</v>
      </c>
      <c r="G29" s="79" t="n">
        <f aca="false">EDATE(FechaCierre,G$28)</f>
        <v>46407</v>
      </c>
      <c r="H29" s="79" t="n">
        <f aca="false">EDATE(FechaCierre,H$28)</f>
        <v>46438</v>
      </c>
      <c r="I29" s="79" t="n">
        <f aca="false">EDATE(FechaCierre,I$28)</f>
        <v>46466</v>
      </c>
      <c r="J29" s="79" t="n">
        <f aca="false">EDATE(FechaCierre,J$28)</f>
        <v>46497</v>
      </c>
      <c r="K29" s="79" t="n">
        <f aca="false">EDATE(FechaCierre,K$28)</f>
        <v>46527</v>
      </c>
      <c r="L29" s="79" t="n">
        <f aca="false">EDATE(FechaCierre,L$28)</f>
        <v>46558</v>
      </c>
      <c r="M29" s="79" t="n">
        <f aca="false">EDATE(FechaCierre,M$28)</f>
        <v>46588</v>
      </c>
      <c r="N29" s="79" t="n">
        <f aca="false">EDATE(FechaCierre,N$28)</f>
        <v>46619</v>
      </c>
      <c r="O29" s="79" t="n">
        <f aca="false">EDATE(FechaCierre,O$28)</f>
        <v>46650</v>
      </c>
      <c r="P29" s="79" t="n">
        <f aca="false">EDATE(FechaCierre,P$28)</f>
        <v>46680</v>
      </c>
      <c r="Q29" s="79" t="n">
        <f aca="false">EDATE(FechaCierre,Q$28)</f>
        <v>46711</v>
      </c>
      <c r="R29" s="79" t="n">
        <f aca="false">EDATE(FechaCierre,R$28)</f>
        <v>46741</v>
      </c>
      <c r="S29" s="79" t="n">
        <f aca="false">EDATE(FechaCierre,S$28)</f>
        <v>46772</v>
      </c>
      <c r="T29" s="79" t="n">
        <f aca="false">EDATE(FechaCierre,T$28)</f>
        <v>46803</v>
      </c>
      <c r="U29" s="79" t="n">
        <f aca="false">EDATE(FechaCierre,U$28)</f>
        <v>46832</v>
      </c>
      <c r="V29" s="79" t="n">
        <f aca="false">EDATE(FechaCierre,V$28)</f>
        <v>46863</v>
      </c>
      <c r="W29" s="79" t="n">
        <f aca="false">EDATE(FechaCierre,W$28)</f>
        <v>46893</v>
      </c>
      <c r="X29" s="79" t="n">
        <f aca="false">EDATE(FechaCierre,X$28)</f>
        <v>46924</v>
      </c>
      <c r="Y29" s="79" t="n">
        <f aca="false">EDATE(FechaCierre,Y$28)</f>
        <v>46954</v>
      </c>
      <c r="Z29" s="79" t="n">
        <f aca="false">EDATE(FechaCierre,Z$28)</f>
        <v>46985</v>
      </c>
      <c r="AA29" s="79" t="n">
        <f aca="false">EDATE(FechaCierre,AA$28)</f>
        <v>47016</v>
      </c>
    </row>
    <row r="30" customFormat="false" ht="15" hidden="false" customHeight="false" outlineLevel="0" collapsed="false">
      <c r="B30" s="3" t="s">
        <v>546</v>
      </c>
      <c r="D30" s="80" t="str">
        <f aca="false">TRIM(IF(D$28=0,"Subasta ","")&amp;IF(D$28=MesPago,"Pago ","")&amp;IF(D$28=MesDecreto,"Decreto ","")&amp;IF(D$28=MesPosesion,"Posesión ","")&amp;IF(D$28=MesVenta,"Venta",""))</f>
        <v>Subasta</v>
      </c>
      <c r="E30" s="80" t="str">
        <f aca="false">TRIM(IF(E$28=0,"Subasta ","")&amp;IF(E$28=MesPago,"Pago ","")&amp;IF(E$28=MesDecreto,"Decreto ","")&amp;IF(E$28=MesPosesion,"Posesión ","")&amp;IF(E$28=MesVenta,"Venta",""))</f>
        <v>Pago</v>
      </c>
      <c r="F30" s="80" t="str">
        <f aca="false">TRIM(IF(F$28=0,"Subasta ","")&amp;IF(F$28=MesPago,"Pago ","")&amp;IF(F$28=MesDecreto,"Decreto ","")&amp;IF(F$28=MesPosesion,"Posesión ","")&amp;IF(F$28=MesVenta,"Venta",""))</f>
        <v/>
      </c>
      <c r="G30" s="80" t="str">
        <f aca="false">TRIM(IF(G$28=0,"Subasta ","")&amp;IF(G$28=MesPago,"Pago ","")&amp;IF(G$28=MesDecreto,"Decreto ","")&amp;IF(G$28=MesPosesion,"Posesión ","")&amp;IF(G$28=MesVenta,"Venta",""))</f>
        <v>Decreto</v>
      </c>
      <c r="H30" s="80" t="str">
        <f aca="false">TRIM(IF(H$28=0,"Subasta ","")&amp;IF(H$28=MesPago,"Pago ","")&amp;IF(H$28=MesDecreto,"Decreto ","")&amp;IF(H$28=MesPosesion,"Posesión ","")&amp;IF(H$28=MesVenta,"Venta",""))</f>
        <v>Posesión</v>
      </c>
      <c r="I30" s="80" t="str">
        <f aca="false">TRIM(IF(I$28=0,"Subasta ","")&amp;IF(I$28=MesPago,"Pago ","")&amp;IF(I$28=MesDecreto,"Decreto ","")&amp;IF(I$28=MesPosesion,"Posesión ","")&amp;IF(I$28=MesVenta,"Venta",""))</f>
        <v/>
      </c>
      <c r="J30" s="80" t="str">
        <f aca="false">TRIM(IF(J$28=0,"Subasta ","")&amp;IF(J$28=MesPago,"Pago ","")&amp;IF(J$28=MesDecreto,"Decreto ","")&amp;IF(J$28=MesPosesion,"Posesión ","")&amp;IF(J$28=MesVenta,"Venta",""))</f>
        <v/>
      </c>
      <c r="K30" s="80" t="str">
        <f aca="false">TRIM(IF(K$28=0,"Subasta ","")&amp;IF(K$28=MesPago,"Pago ","")&amp;IF(K$28=MesDecreto,"Decreto ","")&amp;IF(K$28=MesPosesion,"Posesión ","")&amp;IF(K$28=MesVenta,"Venta",""))</f>
        <v/>
      </c>
      <c r="L30" s="80" t="str">
        <f aca="false">TRIM(IF(L$28=0,"Subasta ","")&amp;IF(L$28=MesPago,"Pago ","")&amp;IF(L$28=MesDecreto,"Decreto ","")&amp;IF(L$28=MesPosesion,"Posesión ","")&amp;IF(L$28=MesVenta,"Venta",""))</f>
        <v>Venta</v>
      </c>
      <c r="M30" s="80" t="str">
        <f aca="false">TRIM(IF(M$28=0,"Subasta ","")&amp;IF(M$28=MesPago,"Pago ","")&amp;IF(M$28=MesDecreto,"Decreto ","")&amp;IF(M$28=MesPosesion,"Posesión ","")&amp;IF(M$28=MesVenta,"Venta",""))</f>
        <v/>
      </c>
      <c r="N30" s="80" t="str">
        <f aca="false">TRIM(IF(N$28=0,"Subasta ","")&amp;IF(N$28=MesPago,"Pago ","")&amp;IF(N$28=MesDecreto,"Decreto ","")&amp;IF(N$28=MesPosesion,"Posesión ","")&amp;IF(N$28=MesVenta,"Venta",""))</f>
        <v/>
      </c>
      <c r="O30" s="80" t="str">
        <f aca="false">TRIM(IF(O$28=0,"Subasta ","")&amp;IF(O$28=MesPago,"Pago ","")&amp;IF(O$28=MesDecreto,"Decreto ","")&amp;IF(O$28=MesPosesion,"Posesión ","")&amp;IF(O$28=MesVenta,"Venta",""))</f>
        <v/>
      </c>
      <c r="P30" s="80" t="str">
        <f aca="false">TRIM(IF(P$28=0,"Subasta ","")&amp;IF(P$28=MesPago,"Pago ","")&amp;IF(P$28=MesDecreto,"Decreto ","")&amp;IF(P$28=MesPosesion,"Posesión ","")&amp;IF(P$28=MesVenta,"Venta",""))</f>
        <v/>
      </c>
      <c r="Q30" s="80" t="str">
        <f aca="false">TRIM(IF(Q$28=0,"Subasta ","")&amp;IF(Q$28=MesPago,"Pago ","")&amp;IF(Q$28=MesDecreto,"Decreto ","")&amp;IF(Q$28=MesPosesion,"Posesión ","")&amp;IF(Q$28=MesVenta,"Venta",""))</f>
        <v/>
      </c>
      <c r="R30" s="80" t="str">
        <f aca="false">TRIM(IF(R$28=0,"Subasta ","")&amp;IF(R$28=MesPago,"Pago ","")&amp;IF(R$28=MesDecreto,"Decreto ","")&amp;IF(R$28=MesPosesion,"Posesión ","")&amp;IF(R$28=MesVenta,"Venta",""))</f>
        <v/>
      </c>
      <c r="S30" s="80" t="str">
        <f aca="false">TRIM(IF(S$28=0,"Subasta ","")&amp;IF(S$28=MesPago,"Pago ","")&amp;IF(S$28=MesDecreto,"Decreto ","")&amp;IF(S$28=MesPosesion,"Posesión ","")&amp;IF(S$28=MesVenta,"Venta",""))</f>
        <v/>
      </c>
      <c r="T30" s="80" t="str">
        <f aca="false">TRIM(IF(T$28=0,"Subasta ","")&amp;IF(T$28=MesPago,"Pago ","")&amp;IF(T$28=MesDecreto,"Decreto ","")&amp;IF(T$28=MesPosesion,"Posesión ","")&amp;IF(T$28=MesVenta,"Venta",""))</f>
        <v/>
      </c>
      <c r="U30" s="80" t="str">
        <f aca="false">TRIM(IF(U$28=0,"Subasta ","")&amp;IF(U$28=MesPago,"Pago ","")&amp;IF(U$28=MesDecreto,"Decreto ","")&amp;IF(U$28=MesPosesion,"Posesión ","")&amp;IF(U$28=MesVenta,"Venta",""))</f>
        <v/>
      </c>
      <c r="V30" s="80" t="str">
        <f aca="false">TRIM(IF(V$28=0,"Subasta ","")&amp;IF(V$28=MesPago,"Pago ","")&amp;IF(V$28=MesDecreto,"Decreto ","")&amp;IF(V$28=MesPosesion,"Posesión ","")&amp;IF(V$28=MesVenta,"Venta",""))</f>
        <v/>
      </c>
      <c r="W30" s="80" t="str">
        <f aca="false">TRIM(IF(W$28=0,"Subasta ","")&amp;IF(W$28=MesPago,"Pago ","")&amp;IF(W$28=MesDecreto,"Decreto ","")&amp;IF(W$28=MesPosesion,"Posesión ","")&amp;IF(W$28=MesVenta,"Venta",""))</f>
        <v/>
      </c>
      <c r="X30" s="80" t="str">
        <f aca="false">TRIM(IF(X$28=0,"Subasta ","")&amp;IF(X$28=MesPago,"Pago ","")&amp;IF(X$28=MesDecreto,"Decreto ","")&amp;IF(X$28=MesPosesion,"Posesión ","")&amp;IF(X$28=MesVenta,"Venta",""))</f>
        <v/>
      </c>
      <c r="Y30" s="80" t="str">
        <f aca="false">TRIM(IF(Y$28=0,"Subasta ","")&amp;IF(Y$28=MesPago,"Pago ","")&amp;IF(Y$28=MesDecreto,"Decreto ","")&amp;IF(Y$28=MesPosesion,"Posesión ","")&amp;IF(Y$28=MesVenta,"Venta",""))</f>
        <v/>
      </c>
      <c r="Z30" s="80" t="str">
        <f aca="false">TRIM(IF(Z$28=0,"Subasta ","")&amp;IF(Z$28=MesPago,"Pago ","")&amp;IF(Z$28=MesDecreto,"Decreto ","")&amp;IF(Z$28=MesPosesion,"Posesión ","")&amp;IF(Z$28=MesVenta,"Venta",""))</f>
        <v/>
      </c>
      <c r="AA30" s="80" t="str">
        <f aca="false">TRIM(IF(AA$28=0,"Subasta ","")&amp;IF(AA$28=MesPago,"Pago ","")&amp;IF(AA$28=MesDecreto,"Decreto ","")&amp;IF(AA$28=MesPosesion,"Posesión ","")&amp;IF(AA$28=MesVenta,"Venta",""))</f>
        <v/>
      </c>
    </row>
    <row r="31" customFormat="false" ht="15" hidden="false" customHeight="false" outlineLevel="0" collapsed="false">
      <c r="B31" s="10" t="s">
        <v>547</v>
      </c>
      <c r="C31" s="81" t="n">
        <f aca="false">SUM(D31:AA31)</f>
        <v>-353.9225</v>
      </c>
      <c r="D31" s="65" t="n">
        <f aca="false">IF(D$28=0,-Deposito,0)</f>
        <v>-353.9225</v>
      </c>
      <c r="E31" s="65" t="n">
        <f aca="false">IF(E$28=0,-Deposito,0)</f>
        <v>0</v>
      </c>
      <c r="F31" s="65" t="n">
        <f aca="false">IF(F$28=0,-Deposito,0)</f>
        <v>0</v>
      </c>
      <c r="G31" s="65" t="n">
        <f aca="false">IF(G$28=0,-Deposito,0)</f>
        <v>0</v>
      </c>
      <c r="H31" s="65" t="n">
        <f aca="false">IF(H$28=0,-Deposito,0)</f>
        <v>0</v>
      </c>
      <c r="I31" s="65" t="n">
        <f aca="false">IF(I$28=0,-Deposito,0)</f>
        <v>0</v>
      </c>
      <c r="J31" s="65" t="n">
        <f aca="false">IF(J$28=0,-Deposito,0)</f>
        <v>0</v>
      </c>
      <c r="K31" s="65" t="n">
        <f aca="false">IF(K$28=0,-Deposito,0)</f>
        <v>0</v>
      </c>
      <c r="L31" s="65" t="n">
        <f aca="false">IF(L$28=0,-Deposito,0)</f>
        <v>0</v>
      </c>
      <c r="M31" s="65" t="n">
        <f aca="false">IF(M$28=0,-Deposito,0)</f>
        <v>0</v>
      </c>
      <c r="N31" s="65" t="n">
        <f aca="false">IF(N$28=0,-Deposito,0)</f>
        <v>0</v>
      </c>
      <c r="O31" s="65" t="n">
        <f aca="false">IF(O$28=0,-Deposito,0)</f>
        <v>0</v>
      </c>
      <c r="P31" s="65" t="n">
        <f aca="false">IF(P$28=0,-Deposito,0)</f>
        <v>0</v>
      </c>
      <c r="Q31" s="65" t="n">
        <f aca="false">IF(Q$28=0,-Deposito,0)</f>
        <v>0</v>
      </c>
      <c r="R31" s="65" t="n">
        <f aca="false">IF(R$28=0,-Deposito,0)</f>
        <v>0</v>
      </c>
      <c r="S31" s="65" t="n">
        <f aca="false">IF(S$28=0,-Deposito,0)</f>
        <v>0</v>
      </c>
      <c r="T31" s="65" t="n">
        <f aca="false">IF(T$28=0,-Deposito,0)</f>
        <v>0</v>
      </c>
      <c r="U31" s="65" t="n">
        <f aca="false">IF(U$28=0,-Deposito,0)</f>
        <v>0</v>
      </c>
      <c r="V31" s="65" t="n">
        <f aca="false">IF(V$28=0,-Deposito,0)</f>
        <v>0</v>
      </c>
      <c r="W31" s="65" t="n">
        <f aca="false">IF(W$28=0,-Deposito,0)</f>
        <v>0</v>
      </c>
      <c r="X31" s="65" t="n">
        <f aca="false">IF(X$28=0,-Deposito,0)</f>
        <v>0</v>
      </c>
      <c r="Y31" s="65" t="n">
        <f aca="false">IF(Y$28=0,-Deposito,0)</f>
        <v>0</v>
      </c>
      <c r="Z31" s="65" t="n">
        <f aca="false">IF(Z$28=0,-Deposito,0)</f>
        <v>0</v>
      </c>
      <c r="AA31" s="65" t="n">
        <f aca="false">IF(AA$28=0,-Deposito,0)</f>
        <v>0</v>
      </c>
    </row>
    <row r="32" customFormat="false" ht="15" hidden="false" customHeight="false" outlineLevel="0" collapsed="false">
      <c r="B32" s="10" t="s">
        <v>548</v>
      </c>
      <c r="C32" s="81" t="n">
        <f aca="false">SUM(D32:AA32)</f>
        <v>-5146.0775</v>
      </c>
      <c r="D32" s="65" t="n">
        <f aca="false">IF(D$28=MesPago,-(Puja-Deposito),0)</f>
        <v>0</v>
      </c>
      <c r="E32" s="65" t="n">
        <f aca="false">IF(E$28=MesPago,-(Puja-Deposito),0)</f>
        <v>-5146.0775</v>
      </c>
      <c r="F32" s="65" t="n">
        <f aca="false">IF(F$28=MesPago,-(Puja-Deposito),0)</f>
        <v>0</v>
      </c>
      <c r="G32" s="65" t="n">
        <f aca="false">IF(G$28=MesPago,-(Puja-Deposito),0)</f>
        <v>0</v>
      </c>
      <c r="H32" s="65" t="n">
        <f aca="false">IF(H$28=MesPago,-(Puja-Deposito),0)</f>
        <v>0</v>
      </c>
      <c r="I32" s="65" t="n">
        <f aca="false">IF(I$28=MesPago,-(Puja-Deposito),0)</f>
        <v>0</v>
      </c>
      <c r="J32" s="65" t="n">
        <f aca="false">IF(J$28=MesPago,-(Puja-Deposito),0)</f>
        <v>0</v>
      </c>
      <c r="K32" s="65" t="n">
        <f aca="false">IF(K$28=MesPago,-(Puja-Deposito),0)</f>
        <v>0</v>
      </c>
      <c r="L32" s="65" t="n">
        <f aca="false">IF(L$28=MesPago,-(Puja-Deposito),0)</f>
        <v>0</v>
      </c>
      <c r="M32" s="65" t="n">
        <f aca="false">IF(M$28=MesPago,-(Puja-Deposito),0)</f>
        <v>0</v>
      </c>
      <c r="N32" s="65" t="n">
        <f aca="false">IF(N$28=MesPago,-(Puja-Deposito),0)</f>
        <v>0</v>
      </c>
      <c r="O32" s="65" t="n">
        <f aca="false">IF(O$28=MesPago,-(Puja-Deposito),0)</f>
        <v>0</v>
      </c>
      <c r="P32" s="65" t="n">
        <f aca="false">IF(P$28=MesPago,-(Puja-Deposito),0)</f>
        <v>0</v>
      </c>
      <c r="Q32" s="65" t="n">
        <f aca="false">IF(Q$28=MesPago,-(Puja-Deposito),0)</f>
        <v>0</v>
      </c>
      <c r="R32" s="65" t="n">
        <f aca="false">IF(R$28=MesPago,-(Puja-Deposito),0)</f>
        <v>0</v>
      </c>
      <c r="S32" s="65" t="n">
        <f aca="false">IF(S$28=MesPago,-(Puja-Deposito),0)</f>
        <v>0</v>
      </c>
      <c r="T32" s="65" t="n">
        <f aca="false">IF(T$28=MesPago,-(Puja-Deposito),0)</f>
        <v>0</v>
      </c>
      <c r="U32" s="65" t="n">
        <f aca="false">IF(U$28=MesPago,-(Puja-Deposito),0)</f>
        <v>0</v>
      </c>
      <c r="V32" s="65" t="n">
        <f aca="false">IF(V$28=MesPago,-(Puja-Deposito),0)</f>
        <v>0</v>
      </c>
      <c r="W32" s="65" t="n">
        <f aca="false">IF(W$28=MesPago,-(Puja-Deposito),0)</f>
        <v>0</v>
      </c>
      <c r="X32" s="65" t="n">
        <f aca="false">IF(X$28=MesPago,-(Puja-Deposito),0)</f>
        <v>0</v>
      </c>
      <c r="Y32" s="65" t="n">
        <f aca="false">IF(Y$28=MesPago,-(Puja-Deposito),0)</f>
        <v>0</v>
      </c>
      <c r="Z32" s="65" t="n">
        <f aca="false">IF(Z$28=MesPago,-(Puja-Deposito),0)</f>
        <v>0</v>
      </c>
      <c r="AA32" s="65" t="n">
        <f aca="false">IF(AA$28=MesPago,-(Puja-Deposito),0)</f>
        <v>0</v>
      </c>
    </row>
    <row r="33" customFormat="false" ht="15" hidden="false" customHeight="false" outlineLevel="0" collapsed="false">
      <c r="B33" s="10" t="s">
        <v>549</v>
      </c>
      <c r="C33" s="81" t="n">
        <f aca="false">SUM(D33:AA33)</f>
        <v>-495.4915</v>
      </c>
      <c r="D33" s="65" t="n">
        <f aca="false">IF(D$28=MesDecreto,-ImpuestoAdq,0)</f>
        <v>0</v>
      </c>
      <c r="E33" s="65" t="n">
        <f aca="false">IF(E$28=MesDecreto,-ImpuestoAdq,0)</f>
        <v>0</v>
      </c>
      <c r="F33" s="65" t="n">
        <f aca="false">IF(F$28=MesDecreto,-ImpuestoAdq,0)</f>
        <v>0</v>
      </c>
      <c r="G33" s="65" t="n">
        <f aca="false">IF(G$28=MesDecreto,-ImpuestoAdq,0)</f>
        <v>-495.4915</v>
      </c>
      <c r="H33" s="65" t="n">
        <f aca="false">IF(H$28=MesDecreto,-ImpuestoAdq,0)</f>
        <v>0</v>
      </c>
      <c r="I33" s="65" t="n">
        <f aca="false">IF(I$28=MesDecreto,-ImpuestoAdq,0)</f>
        <v>0</v>
      </c>
      <c r="J33" s="65" t="n">
        <f aca="false">IF(J$28=MesDecreto,-ImpuestoAdq,0)</f>
        <v>0</v>
      </c>
      <c r="K33" s="65" t="n">
        <f aca="false">IF(K$28=MesDecreto,-ImpuestoAdq,0)</f>
        <v>0</v>
      </c>
      <c r="L33" s="65" t="n">
        <f aca="false">IF(L$28=MesDecreto,-ImpuestoAdq,0)</f>
        <v>0</v>
      </c>
      <c r="M33" s="65" t="n">
        <f aca="false">IF(M$28=MesDecreto,-ImpuestoAdq,0)</f>
        <v>0</v>
      </c>
      <c r="N33" s="65" t="n">
        <f aca="false">IF(N$28=MesDecreto,-ImpuestoAdq,0)</f>
        <v>0</v>
      </c>
      <c r="O33" s="65" t="n">
        <f aca="false">IF(O$28=MesDecreto,-ImpuestoAdq,0)</f>
        <v>0</v>
      </c>
      <c r="P33" s="65" t="n">
        <f aca="false">IF(P$28=MesDecreto,-ImpuestoAdq,0)</f>
        <v>0</v>
      </c>
      <c r="Q33" s="65" t="n">
        <f aca="false">IF(Q$28=MesDecreto,-ImpuestoAdq,0)</f>
        <v>0</v>
      </c>
      <c r="R33" s="65" t="n">
        <f aca="false">IF(R$28=MesDecreto,-ImpuestoAdq,0)</f>
        <v>0</v>
      </c>
      <c r="S33" s="65" t="n">
        <f aca="false">IF(S$28=MesDecreto,-ImpuestoAdq,0)</f>
        <v>0</v>
      </c>
      <c r="T33" s="65" t="n">
        <f aca="false">IF(T$28=MesDecreto,-ImpuestoAdq,0)</f>
        <v>0</v>
      </c>
      <c r="U33" s="65" t="n">
        <f aca="false">IF(U$28=MesDecreto,-ImpuestoAdq,0)</f>
        <v>0</v>
      </c>
      <c r="V33" s="65" t="n">
        <f aca="false">IF(V$28=MesDecreto,-ImpuestoAdq,0)</f>
        <v>0</v>
      </c>
      <c r="W33" s="65" t="n">
        <f aca="false">IF(W$28=MesDecreto,-ImpuestoAdq,0)</f>
        <v>0</v>
      </c>
      <c r="X33" s="65" t="n">
        <f aca="false">IF(X$28=MesDecreto,-ImpuestoAdq,0)</f>
        <v>0</v>
      </c>
      <c r="Y33" s="65" t="n">
        <f aca="false">IF(Y$28=MesDecreto,-ImpuestoAdq,0)</f>
        <v>0</v>
      </c>
      <c r="Z33" s="65" t="n">
        <f aca="false">IF(Z$28=MesDecreto,-ImpuestoAdq,0)</f>
        <v>0</v>
      </c>
      <c r="AA33" s="65" t="n">
        <f aca="false">IF(AA$28=MesDecreto,-ImpuestoAdq,0)</f>
        <v>0</v>
      </c>
    </row>
    <row r="34" customFormat="false" ht="15" hidden="false" customHeight="false" outlineLevel="0" collapsed="false">
      <c r="B34" s="10" t="s">
        <v>550</v>
      </c>
      <c r="C34" s="81" t="n">
        <f aca="false">SUM(D34:AA34)</f>
        <v>-400</v>
      </c>
      <c r="D34" s="65" t="n">
        <f aca="false">IF(D$28=MesDecreto,-(Registro+Gestoria+Abogado),0)</f>
        <v>0</v>
      </c>
      <c r="E34" s="65" t="n">
        <f aca="false">IF(E$28=MesDecreto,-(Registro+Gestoria+Abogado),0)</f>
        <v>0</v>
      </c>
      <c r="F34" s="65" t="n">
        <f aca="false">IF(F$28=MesDecreto,-(Registro+Gestoria+Abogado),0)</f>
        <v>0</v>
      </c>
      <c r="G34" s="65" t="n">
        <f aca="false">IF(G$28=MesDecreto,-(Registro+Gestoria+Abogado),0)</f>
        <v>-400</v>
      </c>
      <c r="H34" s="65" t="n">
        <f aca="false">IF(H$28=MesDecreto,-(Registro+Gestoria+Abogado),0)</f>
        <v>0</v>
      </c>
      <c r="I34" s="65" t="n">
        <f aca="false">IF(I$28=MesDecreto,-(Registro+Gestoria+Abogado),0)</f>
        <v>0</v>
      </c>
      <c r="J34" s="65" t="n">
        <f aca="false">IF(J$28=MesDecreto,-(Registro+Gestoria+Abogado),0)</f>
        <v>0</v>
      </c>
      <c r="K34" s="65" t="n">
        <f aca="false">IF(K$28=MesDecreto,-(Registro+Gestoria+Abogado),0)</f>
        <v>0</v>
      </c>
      <c r="L34" s="65" t="n">
        <f aca="false">IF(L$28=MesDecreto,-(Registro+Gestoria+Abogado),0)</f>
        <v>0</v>
      </c>
      <c r="M34" s="65" t="n">
        <f aca="false">IF(M$28=MesDecreto,-(Registro+Gestoria+Abogado),0)</f>
        <v>0</v>
      </c>
      <c r="N34" s="65" t="n">
        <f aca="false">IF(N$28=MesDecreto,-(Registro+Gestoria+Abogado),0)</f>
        <v>0</v>
      </c>
      <c r="O34" s="65" t="n">
        <f aca="false">IF(O$28=MesDecreto,-(Registro+Gestoria+Abogado),0)</f>
        <v>0</v>
      </c>
      <c r="P34" s="65" t="n">
        <f aca="false">IF(P$28=MesDecreto,-(Registro+Gestoria+Abogado),0)</f>
        <v>0</v>
      </c>
      <c r="Q34" s="65" t="n">
        <f aca="false">IF(Q$28=MesDecreto,-(Registro+Gestoria+Abogado),0)</f>
        <v>0</v>
      </c>
      <c r="R34" s="65" t="n">
        <f aca="false">IF(R$28=MesDecreto,-(Registro+Gestoria+Abogado),0)</f>
        <v>0</v>
      </c>
      <c r="S34" s="65" t="n">
        <f aca="false">IF(S$28=MesDecreto,-(Registro+Gestoria+Abogado),0)</f>
        <v>0</v>
      </c>
      <c r="T34" s="65" t="n">
        <f aca="false">IF(T$28=MesDecreto,-(Registro+Gestoria+Abogado),0)</f>
        <v>0</v>
      </c>
      <c r="U34" s="65" t="n">
        <f aca="false">IF(U$28=MesDecreto,-(Registro+Gestoria+Abogado),0)</f>
        <v>0</v>
      </c>
      <c r="V34" s="65" t="n">
        <f aca="false">IF(V$28=MesDecreto,-(Registro+Gestoria+Abogado),0)</f>
        <v>0</v>
      </c>
      <c r="W34" s="65" t="n">
        <f aca="false">IF(W$28=MesDecreto,-(Registro+Gestoria+Abogado),0)</f>
        <v>0</v>
      </c>
      <c r="X34" s="65" t="n">
        <f aca="false">IF(X$28=MesDecreto,-(Registro+Gestoria+Abogado),0)</f>
        <v>0</v>
      </c>
      <c r="Y34" s="65" t="n">
        <f aca="false">IF(Y$28=MesDecreto,-(Registro+Gestoria+Abogado),0)</f>
        <v>0</v>
      </c>
      <c r="Z34" s="65" t="n">
        <f aca="false">IF(Z$28=MesDecreto,-(Registro+Gestoria+Abogado),0)</f>
        <v>0</v>
      </c>
      <c r="AA34" s="65" t="n">
        <f aca="false">IF(AA$28=MesDecreto,-(Registro+Gestoria+Abogado),0)</f>
        <v>0</v>
      </c>
    </row>
    <row r="35" customFormat="false" ht="15" hidden="false" customHeight="false" outlineLevel="0" collapsed="false">
      <c r="B35" s="10" t="s">
        <v>551</v>
      </c>
      <c r="C35" s="81" t="n">
        <f aca="false">SUM(D35:AA35)</f>
        <v>-520</v>
      </c>
      <c r="D35" s="65" t="n">
        <f aca="false">IF(D$28=MesPosesion,-(DeudaComunidad+DeudaIBI),0)</f>
        <v>0</v>
      </c>
      <c r="E35" s="65" t="n">
        <f aca="false">IF(E$28=MesPosesion,-(DeudaComunidad+DeudaIBI),0)</f>
        <v>0</v>
      </c>
      <c r="F35" s="65" t="n">
        <f aca="false">IF(F$28=MesPosesion,-(DeudaComunidad+DeudaIBI),0)</f>
        <v>0</v>
      </c>
      <c r="G35" s="65" t="n">
        <f aca="false">IF(G$28=MesPosesion,-(DeudaComunidad+DeudaIBI),0)</f>
        <v>0</v>
      </c>
      <c r="H35" s="65" t="n">
        <f aca="false">IF(H$28=MesPosesion,-(DeudaComunidad+DeudaIBI),0)</f>
        <v>-520</v>
      </c>
      <c r="I35" s="65" t="n">
        <f aca="false">IF(I$28=MesPosesion,-(DeudaComunidad+DeudaIBI),0)</f>
        <v>0</v>
      </c>
      <c r="J35" s="65" t="n">
        <f aca="false">IF(J$28=MesPosesion,-(DeudaComunidad+DeudaIBI),0)</f>
        <v>0</v>
      </c>
      <c r="K35" s="65" t="n">
        <f aca="false">IF(K$28=MesPosesion,-(DeudaComunidad+DeudaIBI),0)</f>
        <v>0</v>
      </c>
      <c r="L35" s="65" t="n">
        <f aca="false">IF(L$28=MesPosesion,-(DeudaComunidad+DeudaIBI),0)</f>
        <v>0</v>
      </c>
      <c r="M35" s="65" t="n">
        <f aca="false">IF(M$28=MesPosesion,-(DeudaComunidad+DeudaIBI),0)</f>
        <v>0</v>
      </c>
      <c r="N35" s="65" t="n">
        <f aca="false">IF(N$28=MesPosesion,-(DeudaComunidad+DeudaIBI),0)</f>
        <v>0</v>
      </c>
      <c r="O35" s="65" t="n">
        <f aca="false">IF(O$28=MesPosesion,-(DeudaComunidad+DeudaIBI),0)</f>
        <v>0</v>
      </c>
      <c r="P35" s="65" t="n">
        <f aca="false">IF(P$28=MesPosesion,-(DeudaComunidad+DeudaIBI),0)</f>
        <v>0</v>
      </c>
      <c r="Q35" s="65" t="n">
        <f aca="false">IF(Q$28=MesPosesion,-(DeudaComunidad+DeudaIBI),0)</f>
        <v>0</v>
      </c>
      <c r="R35" s="65" t="n">
        <f aca="false">IF(R$28=MesPosesion,-(DeudaComunidad+DeudaIBI),0)</f>
        <v>0</v>
      </c>
      <c r="S35" s="65" t="n">
        <f aca="false">IF(S$28=MesPosesion,-(DeudaComunidad+DeudaIBI),0)</f>
        <v>0</v>
      </c>
      <c r="T35" s="65" t="n">
        <f aca="false">IF(T$28=MesPosesion,-(DeudaComunidad+DeudaIBI),0)</f>
        <v>0</v>
      </c>
      <c r="U35" s="65" t="n">
        <f aca="false">IF(U$28=MesPosesion,-(DeudaComunidad+DeudaIBI),0)</f>
        <v>0</v>
      </c>
      <c r="V35" s="65" t="n">
        <f aca="false">IF(V$28=MesPosesion,-(DeudaComunidad+DeudaIBI),0)</f>
        <v>0</v>
      </c>
      <c r="W35" s="65" t="n">
        <f aca="false">IF(W$28=MesPosesion,-(DeudaComunidad+DeudaIBI),0)</f>
        <v>0</v>
      </c>
      <c r="X35" s="65" t="n">
        <f aca="false">IF(X$28=MesPosesion,-(DeudaComunidad+DeudaIBI),0)</f>
        <v>0</v>
      </c>
      <c r="Y35" s="65" t="n">
        <f aca="false">IF(Y$28=MesPosesion,-(DeudaComunidad+DeudaIBI),0)</f>
        <v>0</v>
      </c>
      <c r="Z35" s="65" t="n">
        <f aca="false">IF(Z$28=MesPosesion,-(DeudaComunidad+DeudaIBI),0)</f>
        <v>0</v>
      </c>
      <c r="AA35" s="65" t="n">
        <f aca="false">IF(AA$28=MesPosesion,-(DeudaComunidad+DeudaIBI),0)</f>
        <v>0</v>
      </c>
    </row>
    <row r="36" customFormat="false" ht="15" hidden="false" customHeight="false" outlineLevel="0" collapsed="false">
      <c r="B36" s="10" t="s">
        <v>552</v>
      </c>
      <c r="C36" s="81" t="n">
        <f aca="false">SUM(D36:AA36)</f>
        <v>-100</v>
      </c>
      <c r="D36" s="65" t="n">
        <f aca="false">IF(D$28=MesPosesion,-CostePosesion,0)</f>
        <v>0</v>
      </c>
      <c r="E36" s="65" t="n">
        <f aca="false">IF(E$28=MesPosesion,-CostePosesion,0)</f>
        <v>0</v>
      </c>
      <c r="F36" s="65" t="n">
        <f aca="false">IF(F$28=MesPosesion,-CostePosesion,0)</f>
        <v>0</v>
      </c>
      <c r="G36" s="65" t="n">
        <f aca="false">IF(G$28=MesPosesion,-CostePosesion,0)</f>
        <v>0</v>
      </c>
      <c r="H36" s="65" t="n">
        <f aca="false">IF(H$28=MesPosesion,-CostePosesion,0)</f>
        <v>-100</v>
      </c>
      <c r="I36" s="65" t="n">
        <f aca="false">IF(I$28=MesPosesion,-CostePosesion,0)</f>
        <v>0</v>
      </c>
      <c r="J36" s="65" t="n">
        <f aca="false">IF(J$28=MesPosesion,-CostePosesion,0)</f>
        <v>0</v>
      </c>
      <c r="K36" s="65" t="n">
        <f aca="false">IF(K$28=MesPosesion,-CostePosesion,0)</f>
        <v>0</v>
      </c>
      <c r="L36" s="65" t="n">
        <f aca="false">IF(L$28=MesPosesion,-CostePosesion,0)</f>
        <v>0</v>
      </c>
      <c r="M36" s="65" t="n">
        <f aca="false">IF(M$28=MesPosesion,-CostePosesion,0)</f>
        <v>0</v>
      </c>
      <c r="N36" s="65" t="n">
        <f aca="false">IF(N$28=MesPosesion,-CostePosesion,0)</f>
        <v>0</v>
      </c>
      <c r="O36" s="65" t="n">
        <f aca="false">IF(O$28=MesPosesion,-CostePosesion,0)</f>
        <v>0</v>
      </c>
      <c r="P36" s="65" t="n">
        <f aca="false">IF(P$28=MesPosesion,-CostePosesion,0)</f>
        <v>0</v>
      </c>
      <c r="Q36" s="65" t="n">
        <f aca="false">IF(Q$28=MesPosesion,-CostePosesion,0)</f>
        <v>0</v>
      </c>
      <c r="R36" s="65" t="n">
        <f aca="false">IF(R$28=MesPosesion,-CostePosesion,0)</f>
        <v>0</v>
      </c>
      <c r="S36" s="65" t="n">
        <f aca="false">IF(S$28=MesPosesion,-CostePosesion,0)</f>
        <v>0</v>
      </c>
      <c r="T36" s="65" t="n">
        <f aca="false">IF(T$28=MesPosesion,-CostePosesion,0)</f>
        <v>0</v>
      </c>
      <c r="U36" s="65" t="n">
        <f aca="false">IF(U$28=MesPosesion,-CostePosesion,0)</f>
        <v>0</v>
      </c>
      <c r="V36" s="65" t="n">
        <f aca="false">IF(V$28=MesPosesion,-CostePosesion,0)</f>
        <v>0</v>
      </c>
      <c r="W36" s="65" t="n">
        <f aca="false">IF(W$28=MesPosesion,-CostePosesion,0)</f>
        <v>0</v>
      </c>
      <c r="X36" s="65" t="n">
        <f aca="false">IF(X$28=MesPosesion,-CostePosesion,0)</f>
        <v>0</v>
      </c>
      <c r="Y36" s="65" t="n">
        <f aca="false">IF(Y$28=MesPosesion,-CostePosesion,0)</f>
        <v>0</v>
      </c>
      <c r="Z36" s="65" t="n">
        <f aca="false">IF(Z$28=MesPosesion,-CostePosesion,0)</f>
        <v>0</v>
      </c>
      <c r="AA36" s="65" t="n">
        <f aca="false">IF(AA$28=MesPosesion,-CostePosesion,0)</f>
        <v>0</v>
      </c>
    </row>
    <row r="37" customFormat="false" ht="15" hidden="false" customHeight="false" outlineLevel="0" collapsed="false">
      <c r="B37" s="10" t="s">
        <v>553</v>
      </c>
      <c r="C37" s="81" t="n">
        <f aca="false">SUM(D37:AA37)</f>
        <v>-66.6666666666667</v>
      </c>
      <c r="D37" s="65" t="n">
        <f aca="false">IF(AND(D$28&gt;MesDecreto,D$28&lt;=MesVenta),-GastoMensual,0)</f>
        <v>0</v>
      </c>
      <c r="E37" s="65" t="n">
        <f aca="false">IF(AND(E$28&gt;MesDecreto,E$28&lt;=MesVenta),-GastoMensual,0)</f>
        <v>0</v>
      </c>
      <c r="F37" s="65" t="n">
        <f aca="false">IF(AND(F$28&gt;MesDecreto,F$28&lt;=MesVenta),-GastoMensual,0)</f>
        <v>0</v>
      </c>
      <c r="G37" s="65" t="n">
        <f aca="false">IF(AND(G$28&gt;MesDecreto,G$28&lt;=MesVenta),-GastoMensual,0)</f>
        <v>0</v>
      </c>
      <c r="H37" s="65" t="n">
        <f aca="false">IF(AND(H$28&gt;MesDecreto,H$28&lt;=MesVenta),-GastoMensual,0)</f>
        <v>-13.3333333333333</v>
      </c>
      <c r="I37" s="65" t="n">
        <f aca="false">IF(AND(I$28&gt;MesDecreto,I$28&lt;=MesVenta),-GastoMensual,0)</f>
        <v>-13.3333333333333</v>
      </c>
      <c r="J37" s="65" t="n">
        <f aca="false">IF(AND(J$28&gt;MesDecreto,J$28&lt;=MesVenta),-GastoMensual,0)</f>
        <v>-13.3333333333333</v>
      </c>
      <c r="K37" s="65" t="n">
        <f aca="false">IF(AND(K$28&gt;MesDecreto,K$28&lt;=MesVenta),-GastoMensual,0)</f>
        <v>-13.3333333333333</v>
      </c>
      <c r="L37" s="65" t="n">
        <f aca="false">IF(AND(L$28&gt;MesDecreto,L$28&lt;=MesVenta),-GastoMensual,0)</f>
        <v>-13.3333333333333</v>
      </c>
      <c r="M37" s="65" t="n">
        <f aca="false">IF(AND(M$28&gt;MesDecreto,M$28&lt;=MesVenta),-GastoMensual,0)</f>
        <v>0</v>
      </c>
      <c r="N37" s="65" t="n">
        <f aca="false">IF(AND(N$28&gt;MesDecreto,N$28&lt;=MesVenta),-GastoMensual,0)</f>
        <v>0</v>
      </c>
      <c r="O37" s="65" t="n">
        <f aca="false">IF(AND(O$28&gt;MesDecreto,O$28&lt;=MesVenta),-GastoMensual,0)</f>
        <v>0</v>
      </c>
      <c r="P37" s="65" t="n">
        <f aca="false">IF(AND(P$28&gt;MesDecreto,P$28&lt;=MesVenta),-GastoMensual,0)</f>
        <v>0</v>
      </c>
      <c r="Q37" s="65" t="n">
        <f aca="false">IF(AND(Q$28&gt;MesDecreto,Q$28&lt;=MesVenta),-GastoMensual,0)</f>
        <v>0</v>
      </c>
      <c r="R37" s="65" t="n">
        <f aca="false">IF(AND(R$28&gt;MesDecreto,R$28&lt;=MesVenta),-GastoMensual,0)</f>
        <v>0</v>
      </c>
      <c r="S37" s="65" t="n">
        <f aca="false">IF(AND(S$28&gt;MesDecreto,S$28&lt;=MesVenta),-GastoMensual,0)</f>
        <v>0</v>
      </c>
      <c r="T37" s="65" t="n">
        <f aca="false">IF(AND(T$28&gt;MesDecreto,T$28&lt;=MesVenta),-GastoMensual,0)</f>
        <v>0</v>
      </c>
      <c r="U37" s="65" t="n">
        <f aca="false">IF(AND(U$28&gt;MesDecreto,U$28&lt;=MesVenta),-GastoMensual,0)</f>
        <v>0</v>
      </c>
      <c r="V37" s="65" t="n">
        <f aca="false">IF(AND(V$28&gt;MesDecreto,V$28&lt;=MesVenta),-GastoMensual,0)</f>
        <v>0</v>
      </c>
      <c r="W37" s="65" t="n">
        <f aca="false">IF(AND(W$28&gt;MesDecreto,W$28&lt;=MesVenta),-GastoMensual,0)</f>
        <v>0</v>
      </c>
      <c r="X37" s="65" t="n">
        <f aca="false">IF(AND(X$28&gt;MesDecreto,X$28&lt;=MesVenta),-GastoMensual,0)</f>
        <v>0</v>
      </c>
      <c r="Y37" s="65" t="n">
        <f aca="false">IF(AND(Y$28&gt;MesDecreto,Y$28&lt;=MesVenta),-GastoMensual,0)</f>
        <v>0</v>
      </c>
      <c r="Z37" s="65" t="n">
        <f aca="false">IF(AND(Z$28&gt;MesDecreto,Z$28&lt;=MesVenta),-GastoMensual,0)</f>
        <v>0</v>
      </c>
      <c r="AA37" s="65" t="n">
        <f aca="false">IF(AND(AA$28&gt;MesDecreto,AA$28&lt;=MesVenta),-GastoMensual,0)</f>
        <v>0</v>
      </c>
    </row>
    <row r="38" customFormat="false" ht="15" hidden="false" customHeight="false" outlineLevel="0" collapsed="false">
      <c r="B38" s="10" t="s">
        <v>27</v>
      </c>
      <c r="C38" s="81" t="n">
        <f aca="false">SUM(D38:AA38)</f>
        <v>9085.15</v>
      </c>
      <c r="D38" s="65" t="n">
        <f aca="false">IF(D$28=MesVenta,VentaNeta,0)</f>
        <v>0</v>
      </c>
      <c r="E38" s="65" t="n">
        <f aca="false">IF(E$28=MesVenta,VentaNeta,0)</f>
        <v>0</v>
      </c>
      <c r="F38" s="65" t="n">
        <f aca="false">IF(F$28=MesVenta,VentaNeta,0)</f>
        <v>0</v>
      </c>
      <c r="G38" s="65" t="n">
        <f aca="false">IF(G$28=MesVenta,VentaNeta,0)</f>
        <v>0</v>
      </c>
      <c r="H38" s="65" t="n">
        <f aca="false">IF(H$28=MesVenta,VentaNeta,0)</f>
        <v>0</v>
      </c>
      <c r="I38" s="65" t="n">
        <f aca="false">IF(I$28=MesVenta,VentaNeta,0)</f>
        <v>0</v>
      </c>
      <c r="J38" s="65" t="n">
        <f aca="false">IF(J$28=MesVenta,VentaNeta,0)</f>
        <v>0</v>
      </c>
      <c r="K38" s="65" t="n">
        <f aca="false">IF(K$28=MesVenta,VentaNeta,0)</f>
        <v>0</v>
      </c>
      <c r="L38" s="65" t="n">
        <f aca="false">IF(L$28=MesVenta,VentaNeta,0)</f>
        <v>9085.15</v>
      </c>
      <c r="M38" s="65" t="n">
        <f aca="false">IF(M$28=MesVenta,VentaNeta,0)</f>
        <v>0</v>
      </c>
      <c r="N38" s="65" t="n">
        <f aca="false">IF(N$28=MesVenta,VentaNeta,0)</f>
        <v>0</v>
      </c>
      <c r="O38" s="65" t="n">
        <f aca="false">IF(O$28=MesVenta,VentaNeta,0)</f>
        <v>0</v>
      </c>
      <c r="P38" s="65" t="n">
        <f aca="false">IF(P$28=MesVenta,VentaNeta,0)</f>
        <v>0</v>
      </c>
      <c r="Q38" s="65" t="n">
        <f aca="false">IF(Q$28=MesVenta,VentaNeta,0)</f>
        <v>0</v>
      </c>
      <c r="R38" s="65" t="n">
        <f aca="false">IF(R$28=MesVenta,VentaNeta,0)</f>
        <v>0</v>
      </c>
      <c r="S38" s="65" t="n">
        <f aca="false">IF(S$28=MesVenta,VentaNeta,0)</f>
        <v>0</v>
      </c>
      <c r="T38" s="65" t="n">
        <f aca="false">IF(T$28=MesVenta,VentaNeta,0)</f>
        <v>0</v>
      </c>
      <c r="U38" s="65" t="n">
        <f aca="false">IF(U$28=MesVenta,VentaNeta,0)</f>
        <v>0</v>
      </c>
      <c r="V38" s="65" t="n">
        <f aca="false">IF(V$28=MesVenta,VentaNeta,0)</f>
        <v>0</v>
      </c>
      <c r="W38" s="65" t="n">
        <f aca="false">IF(W$28=MesVenta,VentaNeta,0)</f>
        <v>0</v>
      </c>
      <c r="X38" s="65" t="n">
        <f aca="false">IF(X$28=MesVenta,VentaNeta,0)</f>
        <v>0</v>
      </c>
      <c r="Y38" s="65" t="n">
        <f aca="false">IF(Y$28=MesVenta,VentaNeta,0)</f>
        <v>0</v>
      </c>
      <c r="Z38" s="65" t="n">
        <f aca="false">IF(Z$28=MesVenta,VentaNeta,0)</f>
        <v>0</v>
      </c>
      <c r="AA38" s="65" t="n">
        <f aca="false">IF(AA$28=MesVenta,VentaNeta,0)</f>
        <v>0</v>
      </c>
    </row>
    <row r="39" customFormat="false" ht="15" hidden="false" customHeight="false" outlineLevel="0" collapsed="false">
      <c r="B39" s="3" t="s">
        <v>554</v>
      </c>
      <c r="C39" s="82" t="n">
        <f aca="false">SUM(C31:C38)</f>
        <v>2002.99183333333</v>
      </c>
      <c r="D39" s="82" t="n">
        <f aca="false">SUM(D31:D38)</f>
        <v>-353.9225</v>
      </c>
      <c r="E39" s="82" t="n">
        <f aca="false">SUM(E31:E38)</f>
        <v>-5146.0775</v>
      </c>
      <c r="F39" s="82" t="n">
        <f aca="false">SUM(F31:F38)</f>
        <v>0</v>
      </c>
      <c r="G39" s="82" t="n">
        <f aca="false">SUM(G31:G38)</f>
        <v>-895.4915</v>
      </c>
      <c r="H39" s="82" t="n">
        <f aca="false">SUM(H31:H38)</f>
        <v>-633.333333333333</v>
      </c>
      <c r="I39" s="82" t="n">
        <f aca="false">SUM(I31:I38)</f>
        <v>-13.3333333333333</v>
      </c>
      <c r="J39" s="82" t="n">
        <f aca="false">SUM(J31:J38)</f>
        <v>-13.3333333333333</v>
      </c>
      <c r="K39" s="82" t="n">
        <f aca="false">SUM(K31:K38)</f>
        <v>-13.3333333333333</v>
      </c>
      <c r="L39" s="82" t="n">
        <f aca="false">SUM(L31:L38)</f>
        <v>9071.81666666667</v>
      </c>
      <c r="M39" s="82" t="n">
        <f aca="false">SUM(M31:M38)</f>
        <v>0</v>
      </c>
      <c r="N39" s="82" t="n">
        <f aca="false">SUM(N31:N38)</f>
        <v>0</v>
      </c>
      <c r="O39" s="82" t="n">
        <f aca="false">SUM(O31:O38)</f>
        <v>0</v>
      </c>
      <c r="P39" s="82" t="n">
        <f aca="false">SUM(P31:P38)</f>
        <v>0</v>
      </c>
      <c r="Q39" s="82" t="n">
        <f aca="false">SUM(Q31:Q38)</f>
        <v>0</v>
      </c>
      <c r="R39" s="82" t="n">
        <f aca="false">SUM(R31:R38)</f>
        <v>0</v>
      </c>
      <c r="S39" s="82" t="n">
        <f aca="false">SUM(S31:S38)</f>
        <v>0</v>
      </c>
      <c r="T39" s="82" t="n">
        <f aca="false">SUM(T31:T38)</f>
        <v>0</v>
      </c>
      <c r="U39" s="82" t="n">
        <f aca="false">SUM(U31:U38)</f>
        <v>0</v>
      </c>
      <c r="V39" s="82" t="n">
        <f aca="false">SUM(V31:V38)</f>
        <v>0</v>
      </c>
      <c r="W39" s="82" t="n">
        <f aca="false">SUM(W31:W38)</f>
        <v>0</v>
      </c>
      <c r="X39" s="82" t="n">
        <f aca="false">SUM(X31:X38)</f>
        <v>0</v>
      </c>
      <c r="Y39" s="82" t="n">
        <f aca="false">SUM(Y31:Y38)</f>
        <v>0</v>
      </c>
      <c r="Z39" s="82" t="n">
        <f aca="false">SUM(Z31:Z38)</f>
        <v>0</v>
      </c>
      <c r="AA39" s="82" t="n">
        <f aca="false">SUM(AA31:AA38)</f>
        <v>0</v>
      </c>
    </row>
    <row r="40" customFormat="false" ht="15" hidden="false" customHeight="false" outlineLevel="0" collapsed="false">
      <c r="B40" s="10" t="s">
        <v>533</v>
      </c>
      <c r="C40" s="81" t="n">
        <f aca="false">SUM(D40:AA40)</f>
        <v>-380.568448333333</v>
      </c>
      <c r="D40" s="65" t="n">
        <f aca="false">IF(D$28=MesVenta,-MAX(0,$C$39)*TipoGanancia,0)</f>
        <v>0</v>
      </c>
      <c r="E40" s="65" t="n">
        <f aca="false">IF(E$28=MesVenta,-MAX(0,$C$39)*TipoGanancia,0)</f>
        <v>0</v>
      </c>
      <c r="F40" s="65" t="n">
        <f aca="false">IF(F$28=MesVenta,-MAX(0,$C$39)*TipoGanancia,0)</f>
        <v>0</v>
      </c>
      <c r="G40" s="65" t="n">
        <f aca="false">IF(G$28=MesVenta,-MAX(0,$C$39)*TipoGanancia,0)</f>
        <v>0</v>
      </c>
      <c r="H40" s="65" t="n">
        <f aca="false">IF(H$28=MesVenta,-MAX(0,$C$39)*TipoGanancia,0)</f>
        <v>0</v>
      </c>
      <c r="I40" s="65" t="n">
        <f aca="false">IF(I$28=MesVenta,-MAX(0,$C$39)*TipoGanancia,0)</f>
        <v>0</v>
      </c>
      <c r="J40" s="65" t="n">
        <f aca="false">IF(J$28=MesVenta,-MAX(0,$C$39)*TipoGanancia,0)</f>
        <v>0</v>
      </c>
      <c r="K40" s="65" t="n">
        <f aca="false">IF(K$28=MesVenta,-MAX(0,$C$39)*TipoGanancia,0)</f>
        <v>0</v>
      </c>
      <c r="L40" s="65" t="n">
        <f aca="false">IF(L$28=MesVenta,-MAX(0,$C$39)*TipoGanancia,0)</f>
        <v>-380.568448333333</v>
      </c>
      <c r="M40" s="65" t="n">
        <f aca="false">IF(M$28=MesVenta,-MAX(0,$C$39)*TipoGanancia,0)</f>
        <v>0</v>
      </c>
      <c r="N40" s="65" t="n">
        <f aca="false">IF(N$28=MesVenta,-MAX(0,$C$39)*TipoGanancia,0)</f>
        <v>0</v>
      </c>
      <c r="O40" s="65" t="n">
        <f aca="false">IF(O$28=MesVenta,-MAX(0,$C$39)*TipoGanancia,0)</f>
        <v>0</v>
      </c>
      <c r="P40" s="65" t="n">
        <f aca="false">IF(P$28=MesVenta,-MAX(0,$C$39)*TipoGanancia,0)</f>
        <v>0</v>
      </c>
      <c r="Q40" s="65" t="n">
        <f aca="false">IF(Q$28=MesVenta,-MAX(0,$C$39)*TipoGanancia,0)</f>
        <v>0</v>
      </c>
      <c r="R40" s="65" t="n">
        <f aca="false">IF(R$28=MesVenta,-MAX(0,$C$39)*TipoGanancia,0)</f>
        <v>0</v>
      </c>
      <c r="S40" s="65" t="n">
        <f aca="false">IF(S$28=MesVenta,-MAX(0,$C$39)*TipoGanancia,0)</f>
        <v>0</v>
      </c>
      <c r="T40" s="65" t="n">
        <f aca="false">IF(T$28=MesVenta,-MAX(0,$C$39)*TipoGanancia,0)</f>
        <v>0</v>
      </c>
      <c r="U40" s="65" t="n">
        <f aca="false">IF(U$28=MesVenta,-MAX(0,$C$39)*TipoGanancia,0)</f>
        <v>0</v>
      </c>
      <c r="V40" s="65" t="n">
        <f aca="false">IF(V$28=MesVenta,-MAX(0,$C$39)*TipoGanancia,0)</f>
        <v>0</v>
      </c>
      <c r="W40" s="65" t="n">
        <f aca="false">IF(W$28=MesVenta,-MAX(0,$C$39)*TipoGanancia,0)</f>
        <v>0</v>
      </c>
      <c r="X40" s="65" t="n">
        <f aca="false">IF(X$28=MesVenta,-MAX(0,$C$39)*TipoGanancia,0)</f>
        <v>0</v>
      </c>
      <c r="Y40" s="65" t="n">
        <f aca="false">IF(Y$28=MesVenta,-MAX(0,$C$39)*TipoGanancia,0)</f>
        <v>0</v>
      </c>
      <c r="Z40" s="65" t="n">
        <f aca="false">IF(Z$28=MesVenta,-MAX(0,$C$39)*TipoGanancia,0)</f>
        <v>0</v>
      </c>
      <c r="AA40" s="65" t="n">
        <f aca="false">IF(AA$28=MesVenta,-MAX(0,$C$39)*TipoGanancia,0)</f>
        <v>0</v>
      </c>
    </row>
    <row r="41" customFormat="false" ht="15" hidden="false" customHeight="false" outlineLevel="0" collapsed="false">
      <c r="B41" s="3" t="s">
        <v>555</v>
      </c>
      <c r="C41" s="82" t="n">
        <f aca="false">C39+C40</f>
        <v>1622.423385</v>
      </c>
      <c r="D41" s="82" t="n">
        <f aca="false">D39+D40</f>
        <v>-353.9225</v>
      </c>
      <c r="E41" s="82" t="n">
        <f aca="false">E39+E40</f>
        <v>-5146.0775</v>
      </c>
      <c r="F41" s="82" t="n">
        <f aca="false">F39+F40</f>
        <v>0</v>
      </c>
      <c r="G41" s="82" t="n">
        <f aca="false">G39+G40</f>
        <v>-895.4915</v>
      </c>
      <c r="H41" s="82" t="n">
        <f aca="false">H39+H40</f>
        <v>-633.333333333333</v>
      </c>
      <c r="I41" s="82" t="n">
        <f aca="false">I39+I40</f>
        <v>-13.3333333333333</v>
      </c>
      <c r="J41" s="82" t="n">
        <f aca="false">J39+J40</f>
        <v>-13.3333333333333</v>
      </c>
      <c r="K41" s="82" t="n">
        <f aca="false">K39+K40</f>
        <v>-13.3333333333333</v>
      </c>
      <c r="L41" s="82" t="n">
        <f aca="false">L39+L40</f>
        <v>8691.24821833333</v>
      </c>
      <c r="M41" s="82" t="n">
        <f aca="false">M39+M40</f>
        <v>0</v>
      </c>
      <c r="N41" s="82" t="n">
        <f aca="false">N39+N40</f>
        <v>0</v>
      </c>
      <c r="O41" s="82" t="n">
        <f aca="false">O39+O40</f>
        <v>0</v>
      </c>
      <c r="P41" s="82" t="n">
        <f aca="false">P39+P40</f>
        <v>0</v>
      </c>
      <c r="Q41" s="82" t="n">
        <f aca="false">Q39+Q40</f>
        <v>0</v>
      </c>
      <c r="R41" s="82" t="n">
        <f aca="false">R39+R40</f>
        <v>0</v>
      </c>
      <c r="S41" s="82" t="n">
        <f aca="false">S39+S40</f>
        <v>0</v>
      </c>
      <c r="T41" s="82" t="n">
        <f aca="false">T39+T40</f>
        <v>0</v>
      </c>
      <c r="U41" s="82" t="n">
        <f aca="false">U39+U40</f>
        <v>0</v>
      </c>
      <c r="V41" s="82" t="n">
        <f aca="false">V39+V40</f>
        <v>0</v>
      </c>
      <c r="W41" s="82" t="n">
        <f aca="false">W39+W40</f>
        <v>0</v>
      </c>
      <c r="X41" s="82" t="n">
        <f aca="false">X39+X40</f>
        <v>0</v>
      </c>
      <c r="Y41" s="82" t="n">
        <f aca="false">Y39+Y40</f>
        <v>0</v>
      </c>
      <c r="Z41" s="82" t="n">
        <f aca="false">Z39+Z40</f>
        <v>0</v>
      </c>
      <c r="AA41" s="82" t="n">
        <f aca="false">AA39+AA40</f>
        <v>0</v>
      </c>
    </row>
    <row r="42" customFormat="false" ht="15" hidden="false" customHeight="false" outlineLevel="0" collapsed="false">
      <c r="B42" s="10" t="s">
        <v>556</v>
      </c>
      <c r="D42" s="65" t="n">
        <f aca="false">D41</f>
        <v>-353.9225</v>
      </c>
      <c r="E42" s="65" t="n">
        <f aca="false">D42+E41</f>
        <v>-5500</v>
      </c>
      <c r="F42" s="65" t="n">
        <f aca="false">E42+F41</f>
        <v>-5500</v>
      </c>
      <c r="G42" s="65" t="n">
        <f aca="false">F42+G41</f>
        <v>-6395.4915</v>
      </c>
      <c r="H42" s="65" t="n">
        <f aca="false">G42+H41</f>
        <v>-7028.82483333333</v>
      </c>
      <c r="I42" s="65" t="n">
        <f aca="false">H42+I41</f>
        <v>-7042.15816666667</v>
      </c>
      <c r="J42" s="65" t="n">
        <f aca="false">I42+J41</f>
        <v>-7055.4915</v>
      </c>
      <c r="K42" s="65" t="n">
        <f aca="false">J42+K41</f>
        <v>-7068.82483333333</v>
      </c>
      <c r="L42" s="65" t="n">
        <f aca="false">K42+L41</f>
        <v>1622.423385</v>
      </c>
      <c r="M42" s="65" t="n">
        <f aca="false">L42+M41</f>
        <v>1622.423385</v>
      </c>
      <c r="N42" s="65" t="n">
        <f aca="false">M42+N41</f>
        <v>1622.423385</v>
      </c>
      <c r="O42" s="65" t="n">
        <f aca="false">N42+O41</f>
        <v>1622.423385</v>
      </c>
      <c r="P42" s="65" t="n">
        <f aca="false">O42+P41</f>
        <v>1622.423385</v>
      </c>
      <c r="Q42" s="65" t="n">
        <f aca="false">P42+Q41</f>
        <v>1622.423385</v>
      </c>
      <c r="R42" s="65" t="n">
        <f aca="false">Q42+R41</f>
        <v>1622.423385</v>
      </c>
      <c r="S42" s="65" t="n">
        <f aca="false">R42+S41</f>
        <v>1622.423385</v>
      </c>
      <c r="T42" s="65" t="n">
        <f aca="false">S42+T41</f>
        <v>1622.423385</v>
      </c>
      <c r="U42" s="65" t="n">
        <f aca="false">T42+U41</f>
        <v>1622.423385</v>
      </c>
      <c r="V42" s="65" t="n">
        <f aca="false">U42+V41</f>
        <v>1622.423385</v>
      </c>
      <c r="W42" s="65" t="n">
        <f aca="false">V42+W41</f>
        <v>1622.423385</v>
      </c>
      <c r="X42" s="65" t="n">
        <f aca="false">W42+X41</f>
        <v>1622.423385</v>
      </c>
      <c r="Y42" s="65" t="n">
        <f aca="false">X42+Y41</f>
        <v>1622.423385</v>
      </c>
      <c r="Z42" s="65" t="n">
        <f aca="false">Y42+Z41</f>
        <v>1622.423385</v>
      </c>
      <c r="AA42" s="65" t="n">
        <f aca="false">Z42+AA41</f>
        <v>1622.423385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true"/>
  </sheetPr>
  <dimension ref="B2:N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4" topLeftCell="D25" activePane="bottomRight" state="frozen"/>
      <selection pane="topLeft" activeCell="A1" activeCellId="0" sqref="A1"/>
      <selection pane="topRight" activeCell="D1" activeCellId="0" sqref="D1"/>
      <selection pane="bottomLeft" activeCell="A25" activeCellId="0" sqref="A2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14" min="4" style="0" width="11"/>
  </cols>
  <sheetData>
    <row r="2" customFormat="false" ht="19.7" hidden="false" customHeight="false" outlineLevel="0" collapsed="false">
      <c r="B2" s="1" t="s">
        <v>557</v>
      </c>
    </row>
    <row r="3" customFormat="false" ht="15" hidden="false" customHeight="false" outlineLevel="0" collapsed="false">
      <c r="B3" s="2" t="s">
        <v>558</v>
      </c>
    </row>
    <row r="4" customFormat="false" ht="15" hidden="false" customHeight="false" outlineLevel="0" collapsed="false">
      <c r="B4" s="3" t="s">
        <v>2</v>
      </c>
      <c r="C4" s="70" t="str">
        <f aca="false">NombreEscenario</f>
        <v>Base</v>
      </c>
    </row>
    <row r="6" customFormat="false" ht="15" hidden="false" customHeight="false" outlineLevel="0" collapsed="false">
      <c r="B6" s="71" t="s">
        <v>523</v>
      </c>
    </row>
    <row r="7" customFormat="false" ht="15" hidden="false" customHeight="false" outlineLevel="0" collapsed="false">
      <c r="B7" s="3" t="s">
        <v>530</v>
      </c>
      <c r="C7" s="72" t="n">
        <f aca="false">-D26</f>
        <v>7042.15816666667</v>
      </c>
      <c r="E7" s="3" t="s">
        <v>524</v>
      </c>
    </row>
    <row r="8" customFormat="false" ht="15" hidden="false" customHeight="false" outlineLevel="0" collapsed="false">
      <c r="B8" s="10" t="s">
        <v>559</v>
      </c>
      <c r="C8" s="53" t="n">
        <f aca="false">E27</f>
        <v>540</v>
      </c>
      <c r="E8" s="5" t="s">
        <v>560</v>
      </c>
    </row>
    <row r="9" customFormat="false" ht="15" hidden="false" customHeight="false" outlineLevel="0" collapsed="false">
      <c r="B9" s="10" t="s">
        <v>561</v>
      </c>
      <c r="C9" s="53" t="n">
        <f aca="false">E30</f>
        <v>410.578512396694</v>
      </c>
      <c r="E9" s="5" t="s">
        <v>562</v>
      </c>
    </row>
    <row r="10" customFormat="false" ht="15" hidden="false" customHeight="false" outlineLevel="0" collapsed="false">
      <c r="B10" s="3" t="s">
        <v>563</v>
      </c>
      <c r="C10" s="72" t="n">
        <f aca="false">E36</f>
        <v>242.36694214876</v>
      </c>
      <c r="E10" s="5" t="s">
        <v>564</v>
      </c>
    </row>
    <row r="11" customFormat="false" ht="15" hidden="false" customHeight="false" outlineLevel="0" collapsed="false">
      <c r="B11" s="10" t="s">
        <v>565</v>
      </c>
      <c r="C11" s="68" t="n">
        <f aca="false">IF(C7&gt;0,RentaNeta*12/C7,0)</f>
        <v>0.0633727589147262</v>
      </c>
      <c r="E11" s="5" t="s">
        <v>566</v>
      </c>
    </row>
    <row r="12" customFormat="false" ht="15" hidden="false" customHeight="false" outlineLevel="0" collapsed="false">
      <c r="B12" s="3" t="s">
        <v>567</v>
      </c>
      <c r="C12" s="73" t="n">
        <f aca="false">IF(C7&gt;0,C10/C7,0)</f>
        <v>0.0344165717969783</v>
      </c>
    </row>
    <row r="13" customFormat="false" ht="15" hidden="false" customHeight="false" outlineLevel="0" collapsed="false">
      <c r="B13" s="10" t="s">
        <v>568</v>
      </c>
      <c r="C13" s="68" t="n">
        <f aca="false">IF(Puja&gt;0,Renta*12/Puja,0)</f>
        <v>0.0981818181818182</v>
      </c>
    </row>
    <row r="14" customFormat="false" ht="15" hidden="false" customHeight="false" outlineLevel="0" collapsed="false">
      <c r="B14" s="3" t="s">
        <v>569</v>
      </c>
      <c r="C14" s="73" t="n">
        <f aca="false">IRR(D38:N38,0.05)</f>
        <v>0.0773648150111277</v>
      </c>
    </row>
    <row r="15" customFormat="false" ht="15" hidden="false" customHeight="false" outlineLevel="0" collapsed="false">
      <c r="B15" s="10" t="s">
        <v>38</v>
      </c>
      <c r="C15" s="53" t="n">
        <f aca="false">D38+NPV(TasaDescuento,E38:N38)</f>
        <v>1080.80730504639</v>
      </c>
    </row>
    <row r="16" customFormat="false" ht="15" hidden="false" customHeight="false" outlineLevel="0" collapsed="false">
      <c r="B16" s="10" t="s">
        <v>570</v>
      </c>
      <c r="C16" s="83" t="n">
        <f aca="false">IF(C10&gt;0,C7/C10,"n/a")</f>
        <v>29.0557701649935</v>
      </c>
    </row>
    <row r="17" customFormat="false" ht="15" hidden="false" customHeight="false" outlineLevel="0" collapsed="false">
      <c r="B17" s="10" t="s">
        <v>571</v>
      </c>
      <c r="C17" s="74" t="n">
        <f aca="false">IF(C7&gt;0,(C7+C38)/C7,0)</f>
        <v>1.94903406316303</v>
      </c>
    </row>
    <row r="18" customFormat="false" ht="15" hidden="false" customHeight="false" outlineLevel="0" collapsed="false">
      <c r="B18" s="10" t="s">
        <v>572</v>
      </c>
      <c r="C18" s="76" t="str">
        <f aca="false">IF(ABS(C10-NOIInicial)&lt;0.01,"OK","REVISAR")</f>
        <v>OK</v>
      </c>
    </row>
    <row r="23" customFormat="false" ht="15" hidden="false" customHeight="false" outlineLevel="0" collapsed="false">
      <c r="B23" s="71" t="s">
        <v>573</v>
      </c>
    </row>
    <row r="24" customFormat="false" ht="15" hidden="false" customHeight="false" outlineLevel="0" collapsed="false">
      <c r="B24" s="24" t="s">
        <v>542</v>
      </c>
      <c r="C24" s="24" t="s">
        <v>543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</row>
    <row r="25" customFormat="false" ht="15" hidden="false" customHeight="false" outlineLevel="0" collapsed="false">
      <c r="B25" s="3" t="s">
        <v>574</v>
      </c>
      <c r="D25" s="77" t="n">
        <v>0</v>
      </c>
      <c r="E25" s="78" t="n">
        <f aca="false">D25+1</f>
        <v>1</v>
      </c>
      <c r="F25" s="78" t="n">
        <f aca="false">E25+1</f>
        <v>2</v>
      </c>
      <c r="G25" s="78" t="n">
        <f aca="false">F25+1</f>
        <v>3</v>
      </c>
      <c r="H25" s="78" t="n">
        <f aca="false">G25+1</f>
        <v>4</v>
      </c>
      <c r="I25" s="78" t="n">
        <f aca="false">H25+1</f>
        <v>5</v>
      </c>
      <c r="J25" s="78" t="n">
        <f aca="false">I25+1</f>
        <v>6</v>
      </c>
      <c r="K25" s="78" t="n">
        <f aca="false">J25+1</f>
        <v>7</v>
      </c>
      <c r="L25" s="78" t="n">
        <f aca="false">K25+1</f>
        <v>8</v>
      </c>
      <c r="M25" s="78" t="n">
        <f aca="false">L25+1</f>
        <v>9</v>
      </c>
      <c r="N25" s="78" t="n">
        <f aca="false">M25+1</f>
        <v>10</v>
      </c>
    </row>
    <row r="26" customFormat="false" ht="15" hidden="false" customHeight="false" outlineLevel="0" collapsed="false">
      <c r="B26" s="10" t="s">
        <v>575</v>
      </c>
      <c r="C26" s="65" t="n">
        <f aca="false">SUM(D26:N26)</f>
        <v>-7042.15816666667</v>
      </c>
      <c r="D26" s="65" t="n">
        <f aca="false">IF(D$25=0,-(Puja+ImpuestoAdq+CostesFijosAdq+CosteTenenciaAlq),0)</f>
        <v>-7042.15816666667</v>
      </c>
      <c r="E26" s="65" t="n">
        <f aca="false">IF(E$25=0,-(Puja+ImpuestoAdq+CostesFijosAdq+CosteTenenciaAlq),0)</f>
        <v>0</v>
      </c>
      <c r="F26" s="65" t="n">
        <f aca="false">IF(F$25=0,-(Puja+ImpuestoAdq+CostesFijosAdq+CosteTenenciaAlq),0)</f>
        <v>0</v>
      </c>
      <c r="G26" s="65" t="n">
        <f aca="false">IF(G$25=0,-(Puja+ImpuestoAdq+CostesFijosAdq+CosteTenenciaAlq),0)</f>
        <v>0</v>
      </c>
      <c r="H26" s="65" t="n">
        <f aca="false">IF(H$25=0,-(Puja+ImpuestoAdq+CostesFijosAdq+CosteTenenciaAlq),0)</f>
        <v>0</v>
      </c>
      <c r="I26" s="65" t="n">
        <f aca="false">IF(I$25=0,-(Puja+ImpuestoAdq+CostesFijosAdq+CosteTenenciaAlq),0)</f>
        <v>0</v>
      </c>
      <c r="J26" s="65" t="n">
        <f aca="false">IF(J$25=0,-(Puja+ImpuestoAdq+CostesFijosAdq+CosteTenenciaAlq),0)</f>
        <v>0</v>
      </c>
      <c r="K26" s="65" t="n">
        <f aca="false">IF(K$25=0,-(Puja+ImpuestoAdq+CostesFijosAdq+CosteTenenciaAlq),0)</f>
        <v>0</v>
      </c>
      <c r="L26" s="65" t="n">
        <f aca="false">IF(L$25=0,-(Puja+ImpuestoAdq+CostesFijosAdq+CosteTenenciaAlq),0)</f>
        <v>0</v>
      </c>
      <c r="M26" s="65" t="n">
        <f aca="false">IF(M$25=0,-(Puja+ImpuestoAdq+CostesFijosAdq+CosteTenenciaAlq),0)</f>
        <v>0</v>
      </c>
      <c r="N26" s="65" t="n">
        <f aca="false">IF(N$25=0,-(Puja+ImpuestoAdq+CostesFijosAdq+CosteTenenciaAlq),0)</f>
        <v>0</v>
      </c>
    </row>
    <row r="27" customFormat="false" ht="15" hidden="false" customHeight="false" outlineLevel="0" collapsed="false">
      <c r="B27" s="10" t="s">
        <v>576</v>
      </c>
      <c r="C27" s="65" t="n">
        <f aca="false">SUM(D27:N27)</f>
        <v>6049.82615464133</v>
      </c>
      <c r="D27" s="65" t="n">
        <f aca="false">IF(D$25&gt;=1,Renta*12*(1+CrecRenta)^(D$25-1),0)</f>
        <v>0</v>
      </c>
      <c r="E27" s="65" t="n">
        <f aca="false">IF(E$25&gt;=1,Renta*12*(1+CrecRenta)^(E$25-1),0)</f>
        <v>540</v>
      </c>
      <c r="F27" s="65" t="n">
        <f aca="false">IF(F$25&gt;=1,Renta*12*(1+CrecRenta)^(F$25-1),0)</f>
        <v>553.5</v>
      </c>
      <c r="G27" s="65" t="n">
        <f aca="false">IF(G$25&gt;=1,Renta*12*(1+CrecRenta)^(G$25-1),0)</f>
        <v>567.3375</v>
      </c>
      <c r="H27" s="65" t="n">
        <f aca="false">IF(H$25&gt;=1,Renta*12*(1+CrecRenta)^(H$25-1),0)</f>
        <v>581.5209375</v>
      </c>
      <c r="I27" s="65" t="n">
        <f aca="false">IF(I$25&gt;=1,Renta*12*(1+CrecRenta)^(I$25-1),0)</f>
        <v>596.0589609375</v>
      </c>
      <c r="J27" s="65" t="n">
        <f aca="false">IF(J$25&gt;=1,Renta*12*(1+CrecRenta)^(J$25-1),0)</f>
        <v>610.960434960937</v>
      </c>
      <c r="K27" s="65" t="n">
        <f aca="false">IF(K$25&gt;=1,Renta*12*(1+CrecRenta)^(K$25-1),0)</f>
        <v>626.234445834961</v>
      </c>
      <c r="L27" s="65" t="n">
        <f aca="false">IF(L$25&gt;=1,Renta*12*(1+CrecRenta)^(L$25-1),0)</f>
        <v>641.890306980835</v>
      </c>
      <c r="M27" s="65" t="n">
        <f aca="false">IF(M$25&gt;=1,Renta*12*(1+CrecRenta)^(M$25-1),0)</f>
        <v>657.937564655355</v>
      </c>
      <c r="N27" s="65" t="n">
        <f aca="false">IF(N$25&gt;=1,Renta*12*(1+CrecRenta)^(N$25-1),0)</f>
        <v>674.386003771739</v>
      </c>
    </row>
    <row r="28" customFormat="false" ht="15" hidden="false" customHeight="false" outlineLevel="0" collapsed="false">
      <c r="B28" s="10" t="s">
        <v>577</v>
      </c>
      <c r="C28" s="65" t="n">
        <f aca="false">SUM(D28:N28)</f>
        <v>-1049.96982849147</v>
      </c>
      <c r="D28" s="65" t="n">
        <f aca="false">-D27*TipoIVA*RentaInclIVA/(1+TipoIVA*RentaInclIVA)</f>
        <v>-0</v>
      </c>
      <c r="E28" s="65" t="n">
        <f aca="false">-E27*TipoIVA*RentaInclIVA/(1+TipoIVA*RentaInclIVA)</f>
        <v>-93.7190082644628</v>
      </c>
      <c r="F28" s="65" t="n">
        <f aca="false">-F27*TipoIVA*RentaInclIVA/(1+TipoIVA*RentaInclIVA)</f>
        <v>-96.0619834710744</v>
      </c>
      <c r="G28" s="65" t="n">
        <f aca="false">-G27*TipoIVA*RentaInclIVA/(1+TipoIVA*RentaInclIVA)</f>
        <v>-98.4635330578512</v>
      </c>
      <c r="H28" s="65" t="n">
        <f aca="false">-H27*TipoIVA*RentaInclIVA/(1+TipoIVA*RentaInclIVA)</f>
        <v>-100.925121384298</v>
      </c>
      <c r="I28" s="65" t="n">
        <f aca="false">-I27*TipoIVA*RentaInclIVA/(1+TipoIVA*RentaInclIVA)</f>
        <v>-103.448249418905</v>
      </c>
      <c r="J28" s="65" t="n">
        <f aca="false">-J27*TipoIVA*RentaInclIVA/(1+TipoIVA*RentaInclIVA)</f>
        <v>-106.034455654378</v>
      </c>
      <c r="K28" s="65" t="n">
        <f aca="false">-K27*TipoIVA*RentaInclIVA/(1+TipoIVA*RentaInclIVA)</f>
        <v>-108.685317045737</v>
      </c>
      <c r="L28" s="65" t="n">
        <f aca="false">-L27*TipoIVA*RentaInclIVA/(1+TipoIVA*RentaInclIVA)</f>
        <v>-111.40244997188</v>
      </c>
      <c r="M28" s="65" t="n">
        <f aca="false">-M27*TipoIVA*RentaInclIVA/(1+TipoIVA*RentaInclIVA)</f>
        <v>-114.187511221177</v>
      </c>
      <c r="N28" s="65" t="n">
        <f aca="false">-N27*TipoIVA*RentaInclIVA/(1+TipoIVA*RentaInclIVA)</f>
        <v>-117.042199001707</v>
      </c>
    </row>
    <row r="29" customFormat="false" ht="15" hidden="false" customHeight="false" outlineLevel="0" collapsed="false">
      <c r="B29" s="10" t="s">
        <v>578</v>
      </c>
      <c r="C29" s="65" t="n">
        <f aca="false">SUM(D29:N29)</f>
        <v>-399.988506091989</v>
      </c>
      <c r="D29" s="65" t="n">
        <f aca="false">-(D27+D28)*Desocupacion</f>
        <v>-0</v>
      </c>
      <c r="E29" s="65" t="n">
        <f aca="false">-(E27+E28)*Desocupacion</f>
        <v>-35.702479338843</v>
      </c>
      <c r="F29" s="65" t="n">
        <f aca="false">-(F27+F28)*Desocupacion</f>
        <v>-36.5950413223141</v>
      </c>
      <c r="G29" s="65" t="n">
        <f aca="false">-(G27+G28)*Desocupacion</f>
        <v>-37.5099173553719</v>
      </c>
      <c r="H29" s="65" t="n">
        <f aca="false">-(H27+H28)*Desocupacion</f>
        <v>-38.4476652892562</v>
      </c>
      <c r="I29" s="65" t="n">
        <f aca="false">-(I27+I28)*Desocupacion</f>
        <v>-39.4088569214876</v>
      </c>
      <c r="J29" s="65" t="n">
        <f aca="false">-(J27+J28)*Desocupacion</f>
        <v>-40.3940783445248</v>
      </c>
      <c r="K29" s="65" t="n">
        <f aca="false">-(K27+K28)*Desocupacion</f>
        <v>-41.4039303031379</v>
      </c>
      <c r="L29" s="65" t="n">
        <f aca="false">-(L27+L28)*Desocupacion</f>
        <v>-42.4390285607163</v>
      </c>
      <c r="M29" s="65" t="n">
        <f aca="false">-(M27+M28)*Desocupacion</f>
        <v>-43.5000042747342</v>
      </c>
      <c r="N29" s="65" t="n">
        <f aca="false">-(N27+N28)*Desocupacion</f>
        <v>-44.5875043816026</v>
      </c>
    </row>
    <row r="30" customFormat="false" ht="15" hidden="false" customHeight="false" outlineLevel="0" collapsed="false">
      <c r="B30" s="3" t="s">
        <v>579</v>
      </c>
      <c r="C30" s="82" t="n">
        <f aca="false">SUM(D30:N30)</f>
        <v>4599.86782005787</v>
      </c>
      <c r="D30" s="82" t="n">
        <f aca="false">D27+D28+D29</f>
        <v>0</v>
      </c>
      <c r="E30" s="82" t="n">
        <f aca="false">E27+E28+E29</f>
        <v>410.578512396694</v>
      </c>
      <c r="F30" s="82" t="n">
        <f aca="false">F27+F28+F29</f>
        <v>420.842975206612</v>
      </c>
      <c r="G30" s="82" t="n">
        <f aca="false">G27+G28+G29</f>
        <v>431.364049586777</v>
      </c>
      <c r="H30" s="82" t="n">
        <f aca="false">H27+H28+H29</f>
        <v>442.148150826446</v>
      </c>
      <c r="I30" s="82" t="n">
        <f aca="false">I27+I28+I29</f>
        <v>453.201854597107</v>
      </c>
      <c r="J30" s="82" t="n">
        <f aca="false">J27+J28+J29</f>
        <v>464.531900962035</v>
      </c>
      <c r="K30" s="82" t="n">
        <f aca="false">K27+K28+K29</f>
        <v>476.145198486086</v>
      </c>
      <c r="L30" s="82" t="n">
        <f aca="false">L27+L28+L29</f>
        <v>488.048828448238</v>
      </c>
      <c r="M30" s="82" t="n">
        <f aca="false">M27+M28+M29</f>
        <v>500.250049159444</v>
      </c>
      <c r="N30" s="82" t="n">
        <f aca="false">N27+N28+N29</f>
        <v>512.75630038843</v>
      </c>
    </row>
    <row r="31" customFormat="false" ht="15" hidden="false" customHeight="false" outlineLevel="0" collapsed="false">
      <c r="B31" s="10" t="s">
        <v>580</v>
      </c>
      <c r="C31" s="65" t="n">
        <f aca="false">SUM(D31:N31)</f>
        <v>-1344.40581214252</v>
      </c>
      <c r="D31" s="65" t="n">
        <f aca="false">IF(D$25&gt;=1,-CuotaComunidad*12*(1+InflGastos)^(D$25-1),0)</f>
        <v>0</v>
      </c>
      <c r="E31" s="65" t="n">
        <f aca="false">IF(E$25&gt;=1,-CuotaComunidad*12*(1+InflGastos)^(E$25-1),0)</f>
        <v>-120</v>
      </c>
      <c r="F31" s="65" t="n">
        <f aca="false">IF(F$25&gt;=1,-CuotaComunidad*12*(1+InflGastos)^(F$25-1),0)</f>
        <v>-123</v>
      </c>
      <c r="G31" s="65" t="n">
        <f aca="false">IF(G$25&gt;=1,-CuotaComunidad*12*(1+InflGastos)^(G$25-1),0)</f>
        <v>-126.075</v>
      </c>
      <c r="H31" s="65" t="n">
        <f aca="false">IF(H$25&gt;=1,-CuotaComunidad*12*(1+InflGastos)^(H$25-1),0)</f>
        <v>-129.226875</v>
      </c>
      <c r="I31" s="65" t="n">
        <f aca="false">IF(I$25&gt;=1,-CuotaComunidad*12*(1+InflGastos)^(I$25-1),0)</f>
        <v>-132.457546875</v>
      </c>
      <c r="J31" s="65" t="n">
        <f aca="false">IF(J$25&gt;=1,-CuotaComunidad*12*(1+InflGastos)^(J$25-1),0)</f>
        <v>-135.768985546875</v>
      </c>
      <c r="K31" s="65" t="n">
        <f aca="false">IF(K$25&gt;=1,-CuotaComunidad*12*(1+InflGastos)^(K$25-1),0)</f>
        <v>-139.163210185547</v>
      </c>
      <c r="L31" s="65" t="n">
        <f aca="false">IF(L$25&gt;=1,-CuotaComunidad*12*(1+InflGastos)^(L$25-1),0)</f>
        <v>-142.642290440185</v>
      </c>
      <c r="M31" s="65" t="n">
        <f aca="false">IF(M$25&gt;=1,-CuotaComunidad*12*(1+InflGastos)^(M$25-1),0)</f>
        <v>-146.20834770119</v>
      </c>
      <c r="N31" s="65" t="n">
        <f aca="false">IF(N$25&gt;=1,-CuotaComunidad*12*(1+InflGastos)^(N$25-1),0)</f>
        <v>-149.86355639372</v>
      </c>
    </row>
    <row r="32" customFormat="false" ht="15" hidden="false" customHeight="false" outlineLevel="0" collapsed="false">
      <c r="B32" s="10" t="s">
        <v>581</v>
      </c>
      <c r="C32" s="65" t="n">
        <f aca="false">SUM(D32:N32)</f>
        <v>-448.135270714172</v>
      </c>
      <c r="D32" s="65" t="n">
        <f aca="false">IF(D$25&gt;=1,-IBIAnual*(1+InflGastos)^(D$25-1),0)</f>
        <v>0</v>
      </c>
      <c r="E32" s="65" t="n">
        <f aca="false">IF(E$25&gt;=1,-IBIAnual*(1+InflGastos)^(E$25-1),0)</f>
        <v>-40</v>
      </c>
      <c r="F32" s="65" t="n">
        <f aca="false">IF(F$25&gt;=1,-IBIAnual*(1+InflGastos)^(F$25-1),0)</f>
        <v>-41</v>
      </c>
      <c r="G32" s="65" t="n">
        <f aca="false">IF(G$25&gt;=1,-IBIAnual*(1+InflGastos)^(G$25-1),0)</f>
        <v>-42.025</v>
      </c>
      <c r="H32" s="65" t="n">
        <f aca="false">IF(H$25&gt;=1,-IBIAnual*(1+InflGastos)^(H$25-1),0)</f>
        <v>-43.075625</v>
      </c>
      <c r="I32" s="65" t="n">
        <f aca="false">IF(I$25&gt;=1,-IBIAnual*(1+InflGastos)^(I$25-1),0)</f>
        <v>-44.152515625</v>
      </c>
      <c r="J32" s="65" t="n">
        <f aca="false">IF(J$25&gt;=1,-IBIAnual*(1+InflGastos)^(J$25-1),0)</f>
        <v>-45.256328515625</v>
      </c>
      <c r="K32" s="65" t="n">
        <f aca="false">IF(K$25&gt;=1,-IBIAnual*(1+InflGastos)^(K$25-1),0)</f>
        <v>-46.3877367285156</v>
      </c>
      <c r="L32" s="65" t="n">
        <f aca="false">IF(L$25&gt;=1,-IBIAnual*(1+InflGastos)^(L$25-1),0)</f>
        <v>-47.5474301467285</v>
      </c>
      <c r="M32" s="65" t="n">
        <f aca="false">IF(M$25&gt;=1,-IBIAnual*(1+InflGastos)^(M$25-1),0)</f>
        <v>-48.7361159003967</v>
      </c>
      <c r="N32" s="65" t="n">
        <f aca="false">IF(N$25&gt;=1,-IBIAnual*(1+InflGastos)^(N$25-1),0)</f>
        <v>-49.9545187979066</v>
      </c>
    </row>
    <row r="33" customFormat="false" ht="15" hidden="false" customHeight="false" outlineLevel="0" collapsed="false">
      <c r="B33" s="10" t="s">
        <v>582</v>
      </c>
      <c r="C33" s="65" t="n">
        <f aca="false">SUM(D33:N33)</f>
        <v>0</v>
      </c>
      <c r="D33" s="65" t="n">
        <f aca="false">IF(D$25&gt;=1,-SeguroAnual*(1+InflGastos)^(D$25-1),0)</f>
        <v>0</v>
      </c>
      <c r="E33" s="65" t="n">
        <f aca="false">IF(E$25&gt;=1,-SeguroAnual*(1+InflGastos)^(E$25-1),0)</f>
        <v>-0</v>
      </c>
      <c r="F33" s="65" t="n">
        <f aca="false">IF(F$25&gt;=1,-SeguroAnual*(1+InflGastos)^(F$25-1),0)</f>
        <v>-0</v>
      </c>
      <c r="G33" s="65" t="n">
        <f aca="false">IF(G$25&gt;=1,-SeguroAnual*(1+InflGastos)^(G$25-1),0)</f>
        <v>-0</v>
      </c>
      <c r="H33" s="65" t="n">
        <f aca="false">IF(H$25&gt;=1,-SeguroAnual*(1+InflGastos)^(H$25-1),0)</f>
        <v>-0</v>
      </c>
      <c r="I33" s="65" t="n">
        <f aca="false">IF(I$25&gt;=1,-SeguroAnual*(1+InflGastos)^(I$25-1),0)</f>
        <v>-0</v>
      </c>
      <c r="J33" s="65" t="n">
        <f aca="false">IF(J$25&gt;=1,-SeguroAnual*(1+InflGastos)^(J$25-1),0)</f>
        <v>-0</v>
      </c>
      <c r="K33" s="65" t="n">
        <f aca="false">IF(K$25&gt;=1,-SeguroAnual*(1+InflGastos)^(K$25-1),0)</f>
        <v>-0</v>
      </c>
      <c r="L33" s="65" t="n">
        <f aca="false">IF(L$25&gt;=1,-SeguroAnual*(1+InflGastos)^(L$25-1),0)</f>
        <v>-0</v>
      </c>
      <c r="M33" s="65" t="n">
        <f aca="false">IF(M$25&gt;=1,-SeguroAnual*(1+InflGastos)^(M$25-1),0)</f>
        <v>-0</v>
      </c>
      <c r="N33" s="65" t="n">
        <f aca="false">IF(N$25&gt;=1,-SeguroAnual*(1+InflGastos)^(N$25-1),0)</f>
        <v>-0</v>
      </c>
    </row>
    <row r="34" customFormat="false" ht="15" hidden="false" customHeight="false" outlineLevel="0" collapsed="false">
      <c r="B34" s="10" t="s">
        <v>583</v>
      </c>
      <c r="C34" s="65" t="n">
        <f aca="false">SUM(D34:N34)</f>
        <v>0</v>
      </c>
      <c r="D34" s="65" t="n">
        <f aca="false">-D30*GestionPct</f>
        <v>-0</v>
      </c>
      <c r="E34" s="65" t="n">
        <f aca="false">-E30*GestionPct</f>
        <v>-0</v>
      </c>
      <c r="F34" s="65" t="n">
        <f aca="false">-F30*GestionPct</f>
        <v>-0</v>
      </c>
      <c r="G34" s="65" t="n">
        <f aca="false">-G30*GestionPct</f>
        <v>-0</v>
      </c>
      <c r="H34" s="65" t="n">
        <f aca="false">-H30*GestionPct</f>
        <v>-0</v>
      </c>
      <c r="I34" s="65" t="n">
        <f aca="false">-I30*GestionPct</f>
        <v>-0</v>
      </c>
      <c r="J34" s="65" t="n">
        <f aca="false">-J30*GestionPct</f>
        <v>-0</v>
      </c>
      <c r="K34" s="65" t="n">
        <f aca="false">-K30*GestionPct</f>
        <v>-0</v>
      </c>
      <c r="L34" s="65" t="n">
        <f aca="false">-L30*GestionPct</f>
        <v>-0</v>
      </c>
      <c r="M34" s="65" t="n">
        <f aca="false">-M30*GestionPct</f>
        <v>-0</v>
      </c>
      <c r="N34" s="65" t="n">
        <f aca="false">-N30*GestionPct</f>
        <v>-0</v>
      </c>
    </row>
    <row r="35" customFormat="false" ht="15" hidden="false" customHeight="false" outlineLevel="0" collapsed="false">
      <c r="B35" s="10" t="s">
        <v>584</v>
      </c>
      <c r="C35" s="65" t="n">
        <f aca="false">SUM(D35:N35)</f>
        <v>-91.9973564011574</v>
      </c>
      <c r="D35" s="65" t="n">
        <f aca="false">-D30*MantenimientoPct</f>
        <v>-0</v>
      </c>
      <c r="E35" s="65" t="n">
        <f aca="false">-E30*MantenimientoPct</f>
        <v>-8.21157024793389</v>
      </c>
      <c r="F35" s="65" t="n">
        <f aca="false">-F30*MantenimientoPct</f>
        <v>-8.41685950413223</v>
      </c>
      <c r="G35" s="65" t="n">
        <f aca="false">-G30*MantenimientoPct</f>
        <v>-8.62728099173554</v>
      </c>
      <c r="H35" s="65" t="n">
        <f aca="false">-H30*MantenimientoPct</f>
        <v>-8.84296301652892</v>
      </c>
      <c r="I35" s="65" t="n">
        <f aca="false">-I30*MantenimientoPct</f>
        <v>-9.06403709194215</v>
      </c>
      <c r="J35" s="65" t="n">
        <f aca="false">-J30*MantenimientoPct</f>
        <v>-9.2906380192407</v>
      </c>
      <c r="K35" s="65" t="n">
        <f aca="false">-K30*MantenimientoPct</f>
        <v>-9.52290396972171</v>
      </c>
      <c r="L35" s="65" t="n">
        <f aca="false">-L30*MantenimientoPct</f>
        <v>-9.76097656896476</v>
      </c>
      <c r="M35" s="65" t="n">
        <f aca="false">-M30*MantenimientoPct</f>
        <v>-10.0050009831889</v>
      </c>
      <c r="N35" s="65" t="n">
        <f aca="false">-N30*MantenimientoPct</f>
        <v>-10.2551260077686</v>
      </c>
    </row>
    <row r="36" customFormat="false" ht="15" hidden="false" customHeight="false" outlineLevel="0" collapsed="false">
      <c r="B36" s="3" t="s">
        <v>585</v>
      </c>
      <c r="C36" s="82" t="n">
        <f aca="false">SUM(D36:N36)</f>
        <v>2715.32938080002</v>
      </c>
      <c r="D36" s="82" t="n">
        <f aca="false">D30+SUM(D31:D35)</f>
        <v>0</v>
      </c>
      <c r="E36" s="82" t="n">
        <f aca="false">E30+SUM(E31:E35)</f>
        <v>242.36694214876</v>
      </c>
      <c r="F36" s="82" t="n">
        <f aca="false">F30+SUM(F31:F35)</f>
        <v>248.426115702479</v>
      </c>
      <c r="G36" s="82" t="n">
        <f aca="false">G30+SUM(G31:G35)</f>
        <v>254.636768595041</v>
      </c>
      <c r="H36" s="82" t="n">
        <f aca="false">H30+SUM(H31:H35)</f>
        <v>261.002687809917</v>
      </c>
      <c r="I36" s="82" t="n">
        <f aca="false">I30+SUM(I31:I35)</f>
        <v>267.527755005165</v>
      </c>
      <c r="J36" s="82" t="n">
        <f aca="false">J30+SUM(J31:J35)</f>
        <v>274.215948880294</v>
      </c>
      <c r="K36" s="82" t="n">
        <f aca="false">K30+SUM(K31:K35)</f>
        <v>281.071347602302</v>
      </c>
      <c r="L36" s="82" t="n">
        <f aca="false">L30+SUM(L31:L35)</f>
        <v>288.098131292359</v>
      </c>
      <c r="M36" s="82" t="n">
        <f aca="false">M30+SUM(M31:M35)</f>
        <v>295.300584574668</v>
      </c>
      <c r="N36" s="82" t="n">
        <f aca="false">N30+SUM(N31:N35)</f>
        <v>302.683099189035</v>
      </c>
    </row>
    <row r="37" customFormat="false" ht="15" hidden="false" customHeight="false" outlineLevel="0" collapsed="false">
      <c r="B37" s="10" t="s">
        <v>586</v>
      </c>
      <c r="C37" s="65" t="n">
        <f aca="false">SUM(D37:N37)</f>
        <v>11010.076764215</v>
      </c>
      <c r="D37" s="65" t="n">
        <f aca="false">IF(D$25=10,PrecioVenta*(1+Revalorizacion)^10*(1-DescuentoNeg)*(1-ComisionVenta*(1+TipoIVA))-PlusvaliaSalida,0)</f>
        <v>0</v>
      </c>
      <c r="E37" s="65" t="n">
        <f aca="false">IF(E$25=10,PrecioVenta*(1+Revalorizacion)^10*(1-DescuentoNeg)*(1-ComisionVenta*(1+TipoIVA))-PlusvaliaSalida,0)</f>
        <v>0</v>
      </c>
      <c r="F37" s="65" t="n">
        <f aca="false">IF(F$25=10,PrecioVenta*(1+Revalorizacion)^10*(1-DescuentoNeg)*(1-ComisionVenta*(1+TipoIVA))-PlusvaliaSalida,0)</f>
        <v>0</v>
      </c>
      <c r="G37" s="65" t="n">
        <f aca="false">IF(G$25=10,PrecioVenta*(1+Revalorizacion)^10*(1-DescuentoNeg)*(1-ComisionVenta*(1+TipoIVA))-PlusvaliaSalida,0)</f>
        <v>0</v>
      </c>
      <c r="H37" s="65" t="n">
        <f aca="false">IF(H$25=10,PrecioVenta*(1+Revalorizacion)^10*(1-DescuentoNeg)*(1-ComisionVenta*(1+TipoIVA))-PlusvaliaSalida,0)</f>
        <v>0</v>
      </c>
      <c r="I37" s="65" t="n">
        <f aca="false">IF(I$25=10,PrecioVenta*(1+Revalorizacion)^10*(1-DescuentoNeg)*(1-ComisionVenta*(1+TipoIVA))-PlusvaliaSalida,0)</f>
        <v>0</v>
      </c>
      <c r="J37" s="65" t="n">
        <f aca="false">IF(J$25=10,PrecioVenta*(1+Revalorizacion)^10*(1-DescuentoNeg)*(1-ComisionVenta*(1+TipoIVA))-PlusvaliaSalida,0)</f>
        <v>0</v>
      </c>
      <c r="K37" s="65" t="n">
        <f aca="false">IF(K$25=10,PrecioVenta*(1+Revalorizacion)^10*(1-DescuentoNeg)*(1-ComisionVenta*(1+TipoIVA))-PlusvaliaSalida,0)</f>
        <v>0</v>
      </c>
      <c r="L37" s="65" t="n">
        <f aca="false">IF(L$25=10,PrecioVenta*(1+Revalorizacion)^10*(1-DescuentoNeg)*(1-ComisionVenta*(1+TipoIVA))-PlusvaliaSalida,0)</f>
        <v>0</v>
      </c>
      <c r="M37" s="65" t="n">
        <f aca="false">IF(M$25=10,PrecioVenta*(1+Revalorizacion)^10*(1-DescuentoNeg)*(1-ComisionVenta*(1+TipoIVA))-PlusvaliaSalida,0)</f>
        <v>0</v>
      </c>
      <c r="N37" s="65" t="n">
        <f aca="false">IF(N$25=10,PrecioVenta*(1+Revalorizacion)^10*(1-DescuentoNeg)*(1-ComisionVenta*(1+TipoIVA))-PlusvaliaSalida,0)</f>
        <v>11010.076764215</v>
      </c>
    </row>
    <row r="38" customFormat="false" ht="15" hidden="false" customHeight="false" outlineLevel="0" collapsed="false">
      <c r="B38" s="3" t="s">
        <v>587</v>
      </c>
      <c r="C38" s="82" t="n">
        <f aca="false">SUM(D38:N38)</f>
        <v>6683.24797834836</v>
      </c>
      <c r="D38" s="82" t="n">
        <f aca="false">D26+D36+D37</f>
        <v>-7042.15816666667</v>
      </c>
      <c r="E38" s="82" t="n">
        <f aca="false">E26+E36+E37</f>
        <v>242.36694214876</v>
      </c>
      <c r="F38" s="82" t="n">
        <f aca="false">F26+F36+F37</f>
        <v>248.426115702479</v>
      </c>
      <c r="G38" s="82" t="n">
        <f aca="false">G26+G36+G37</f>
        <v>254.636768595041</v>
      </c>
      <c r="H38" s="82" t="n">
        <f aca="false">H26+H36+H37</f>
        <v>261.002687809917</v>
      </c>
      <c r="I38" s="82" t="n">
        <f aca="false">I26+I36+I37</f>
        <v>267.527755005165</v>
      </c>
      <c r="J38" s="82" t="n">
        <f aca="false">J26+J36+J37</f>
        <v>274.215948880294</v>
      </c>
      <c r="K38" s="82" t="n">
        <f aca="false">K26+K36+K37</f>
        <v>281.071347602302</v>
      </c>
      <c r="L38" s="82" t="n">
        <f aca="false">L26+L36+L37</f>
        <v>288.098131292359</v>
      </c>
      <c r="M38" s="82" t="n">
        <f aca="false">M26+M36+M37</f>
        <v>295.300584574668</v>
      </c>
      <c r="N38" s="82" t="n">
        <f aca="false">N26+N36+N37</f>
        <v>11312.759863404</v>
      </c>
    </row>
    <row r="39" customFormat="false" ht="15" hidden="false" customHeight="false" outlineLevel="0" collapsed="false">
      <c r="B39" s="10" t="s">
        <v>556</v>
      </c>
      <c r="D39" s="65" t="n">
        <f aca="false">D38</f>
        <v>-7042.15816666667</v>
      </c>
      <c r="E39" s="65" t="n">
        <f aca="false">D39+E38</f>
        <v>-6799.79122451791</v>
      </c>
      <c r="F39" s="65" t="n">
        <f aca="false">E39+F38</f>
        <v>-6551.36510881543</v>
      </c>
      <c r="G39" s="65" t="n">
        <f aca="false">F39+G38</f>
        <v>-6296.72834022039</v>
      </c>
      <c r="H39" s="65" t="n">
        <f aca="false">G39+H38</f>
        <v>-6035.72565241047</v>
      </c>
      <c r="I39" s="65" t="n">
        <f aca="false">H39+I38</f>
        <v>-5768.1978974053</v>
      </c>
      <c r="J39" s="65" t="n">
        <f aca="false">I39+J38</f>
        <v>-5493.98194852501</v>
      </c>
      <c r="K39" s="65" t="n">
        <f aca="false">J39+K38</f>
        <v>-5212.91060092271</v>
      </c>
      <c r="L39" s="65" t="n">
        <f aca="false">K39+L38</f>
        <v>-4924.81246963035</v>
      </c>
      <c r="M39" s="65" t="n">
        <f aca="false">L39+M38</f>
        <v>-4629.51188505568</v>
      </c>
      <c r="N39" s="65" t="n">
        <f aca="false">M39+N38</f>
        <v>6683.24797834836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true"/>
  </sheetPr>
  <dimension ref="B2:L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" min="4" style="0" width="32"/>
    <col collapsed="false" customWidth="true" hidden="false" outlineLevel="0" max="5" min="5" style="0" width="13"/>
    <col collapsed="false" customWidth="true" hidden="false" outlineLevel="0" max="7" min="6" style="0" width="15"/>
    <col collapsed="false" customWidth="true" hidden="false" outlineLevel="0" max="9" min="8" style="0" width="13"/>
    <col collapsed="false" customWidth="true" hidden="false" outlineLevel="0" max="10" min="10" style="0" width="14"/>
    <col collapsed="false" customWidth="true" hidden="false" outlineLevel="0" max="11" min="11" style="0" width="15"/>
    <col collapsed="false" customWidth="true" hidden="false" outlineLevel="0" max="12" min="12" style="0" width="13"/>
  </cols>
  <sheetData>
    <row r="2" customFormat="false" ht="19.7" hidden="false" customHeight="false" outlineLevel="0" collapsed="false">
      <c r="B2" s="1" t="s">
        <v>588</v>
      </c>
    </row>
    <row r="3" customFormat="false" ht="15" hidden="false" customHeight="false" outlineLevel="0" collapsed="false">
      <c r="B3" s="2" t="s">
        <v>589</v>
      </c>
    </row>
    <row r="5" customFormat="false" ht="15" hidden="false" customHeight="false" outlineLevel="0" collapsed="false">
      <c r="B5" s="6" t="s">
        <v>590</v>
      </c>
      <c r="C5" s="7"/>
      <c r="D5" s="7"/>
      <c r="E5" s="7"/>
      <c r="F5" s="7"/>
      <c r="G5" s="7"/>
      <c r="H5" s="7"/>
      <c r="I5" s="7"/>
      <c r="J5" s="7"/>
      <c r="K5" s="7"/>
      <c r="L5" s="7"/>
    </row>
    <row r="6" customFormat="false" ht="15" hidden="false" customHeight="false" outlineLevel="0" collapsed="false">
      <c r="B6" s="24" t="s">
        <v>542</v>
      </c>
      <c r="C6" s="24" t="s">
        <v>591</v>
      </c>
      <c r="D6" s="24" t="s">
        <v>592</v>
      </c>
    </row>
    <row r="7" customFormat="false" ht="15" hidden="false" customHeight="false" outlineLevel="0" collapsed="false">
      <c r="B7" s="10" t="s">
        <v>593</v>
      </c>
      <c r="C7" s="84" t="n">
        <f aca="false">ROIObjetivo</f>
        <v>0.2</v>
      </c>
      <c r="D7" s="84" t="n">
        <f aca="false">RentabObjetivo</f>
        <v>0.05</v>
      </c>
      <c r="E7" s="3" t="s">
        <v>594</v>
      </c>
    </row>
    <row r="8" customFormat="false" ht="15" hidden="false" customHeight="false" outlineLevel="0" collapsed="false">
      <c r="B8" s="10" t="s">
        <v>595</v>
      </c>
      <c r="C8" s="67" t="n">
        <f aca="false">VentaNeta</f>
        <v>9085.15</v>
      </c>
      <c r="D8" s="67" t="n">
        <f aca="false">NOIInicial</f>
        <v>242.36694214876</v>
      </c>
      <c r="E8" s="5" t="s">
        <v>596</v>
      </c>
    </row>
    <row r="9" customFormat="false" ht="15" hidden="false" customHeight="false" outlineLevel="0" collapsed="false">
      <c r="B9" s="10" t="s">
        <v>597</v>
      </c>
      <c r="C9" s="53" t="n">
        <f aca="false">C8/(1+C7)</f>
        <v>7570.95833333333</v>
      </c>
      <c r="D9" s="53" t="n">
        <f aca="false">IF(D7&gt;0,D8/D7,0)</f>
        <v>4847.33884297521</v>
      </c>
      <c r="E9" s="5" t="s">
        <v>598</v>
      </c>
    </row>
    <row r="10" customFormat="false" ht="15" hidden="false" customHeight="false" outlineLevel="0" collapsed="false">
      <c r="B10" s="10" t="s">
        <v>599</v>
      </c>
      <c r="C10" s="67" t="n">
        <f aca="false">-CostesFijosAdq</f>
        <v>-1020</v>
      </c>
      <c r="D10" s="67" t="n">
        <f aca="false">-CostesFijosAdq</f>
        <v>-1020</v>
      </c>
      <c r="E10" s="5" t="s">
        <v>600</v>
      </c>
    </row>
    <row r="11" customFormat="false" ht="15" hidden="false" customHeight="false" outlineLevel="0" collapsed="false">
      <c r="B11" s="10" t="s">
        <v>601</v>
      </c>
      <c r="C11" s="67" t="n">
        <f aca="false">-CosteTenenciaFlip</f>
        <v>-66.6666666666667</v>
      </c>
      <c r="D11" s="67" t="n">
        <f aca="false">-CosteTenenciaAlq</f>
        <v>-26.6666666666667</v>
      </c>
      <c r="E11" s="5" t="s">
        <v>602</v>
      </c>
    </row>
    <row r="12" customFormat="false" ht="15" hidden="false" customHeight="false" outlineLevel="0" collapsed="false">
      <c r="B12" s="10" t="s">
        <v>603</v>
      </c>
      <c r="C12" s="53" t="n">
        <f aca="false">SUM(C9:C11)</f>
        <v>6484.29166666667</v>
      </c>
      <c r="D12" s="53" t="n">
        <f aca="false">SUM(D9:D11)</f>
        <v>3800.67217630854</v>
      </c>
      <c r="E12" s="5" t="s">
        <v>604</v>
      </c>
    </row>
    <row r="13" customFormat="false" ht="15" hidden="false" customHeight="false" outlineLevel="0" collapsed="false">
      <c r="B13" s="3" t="s">
        <v>39</v>
      </c>
      <c r="C13" s="72" t="n">
        <f aca="false">MAX(0,IF(Regimen=1,IF((C12)/(1+TipoITP)&gt;=ValorReferencia,(C12)/(1+TipoITP),(C12)-TipoITP*ValorReferencia),(C12)/(1+TipoIVA*(1-IVADeducible))))</f>
        <v>5988.80016666667</v>
      </c>
      <c r="D13" s="72" t="n">
        <f aca="false">MAX(0,IF(Regimen=1,IF((D12)/(1+TipoITP)&gt;=ValorReferencia,(D12)/(1+TipoITP),(D12)-TipoITP*ValorReferencia),(D12)/(1+TipoIVA*(1-IVADeducible))))</f>
        <v>3305.18067630854</v>
      </c>
    </row>
    <row r="14" customFormat="false" ht="15" hidden="false" customHeight="false" outlineLevel="0" collapsed="false">
      <c r="B14" s="10" t="s">
        <v>605</v>
      </c>
      <c r="C14" s="68" t="n">
        <f aca="false">C13/ValorSubasta</f>
        <v>0.846060954964246</v>
      </c>
      <c r="D14" s="68" t="n">
        <f aca="false">D13/ValorSubasta</f>
        <v>0.46693565347054</v>
      </c>
    </row>
    <row r="15" customFormat="false" ht="15" hidden="false" customHeight="false" outlineLevel="0" collapsed="false">
      <c r="B15" s="10" t="s">
        <v>606</v>
      </c>
      <c r="C15" s="40" t="str">
        <f aca="false">IF(C13&gt;=UmbralSetenta,"Sí","No — riesgo art. 670.4 LEC")</f>
        <v>Sí</v>
      </c>
      <c r="D15" s="40" t="str">
        <f aca="false">IF(D13&gt;=UmbralSetenta,"Sí","No — riesgo art. 670.4 LEC")</f>
        <v>No — riesgo art. 670.4 LEC</v>
      </c>
    </row>
    <row r="16" customFormat="false" ht="15" hidden="false" customHeight="false" outlineLevel="0" collapsed="false">
      <c r="B16" s="10" t="s">
        <v>607</v>
      </c>
      <c r="C16" s="53" t="n">
        <f aca="false">MAX(0,IF(Regimen=1,IF((C8-CostesFijosAdq-CosteTenenciaFlip)/(1+TipoITP)&gt;=ValorReferencia,(C8-CostesFijosAdq-CosteTenenciaFlip)/(1+TipoITP),(C8-CostesFijosAdq-CosteTenenciaFlip)-TipoITP*ValorReferencia),(C8-CostesFijosAdq-CosteTenenciaFlip)/(1+TipoIVA*(1-IVADeducible))))</f>
        <v>7475.21806853582</v>
      </c>
    </row>
    <row r="18" customFormat="false" ht="15" hidden="false" customHeight="false" outlineLevel="0" collapsed="false">
      <c r="B18" s="3" t="s">
        <v>47</v>
      </c>
      <c r="C18" s="85" t="n">
        <f aca="false">IF(Estrategia=1,PujaMaxFlip,PujaMaxAlq)</f>
        <v>5988.80016666667</v>
      </c>
    </row>
    <row r="19" customFormat="false" ht="15" hidden="false" customHeight="false" outlineLevel="0" collapsed="false">
      <c r="B19" s="10" t="s">
        <v>608</v>
      </c>
      <c r="C19" s="53" t="n">
        <f aca="false">ROUNDUP(UmbralSetenta,0)</f>
        <v>4955</v>
      </c>
    </row>
    <row r="21" customFormat="false" ht="15" hidden="false" customHeight="false" outlineLevel="0" collapsed="false">
      <c r="B21" s="6" t="s">
        <v>609</v>
      </c>
      <c r="C21" s="7"/>
      <c r="D21" s="7"/>
      <c r="E21" s="7"/>
      <c r="F21" s="7"/>
      <c r="G21" s="7"/>
      <c r="H21" s="7"/>
      <c r="I21" s="7"/>
      <c r="J21" s="7"/>
      <c r="K21" s="7"/>
      <c r="L21" s="7"/>
    </row>
    <row r="22" customFormat="false" ht="23.85" hidden="false" customHeight="false" outlineLevel="0" collapsed="false">
      <c r="B22" s="24" t="s">
        <v>610</v>
      </c>
      <c r="C22" s="24" t="s">
        <v>611</v>
      </c>
      <c r="D22" s="24" t="s">
        <v>612</v>
      </c>
      <c r="E22" s="24" t="s">
        <v>613</v>
      </c>
      <c r="F22" s="24" t="s">
        <v>614</v>
      </c>
      <c r="G22" s="24" t="s">
        <v>615</v>
      </c>
      <c r="H22" s="24" t="s">
        <v>616</v>
      </c>
      <c r="I22" s="24" t="s">
        <v>617</v>
      </c>
      <c r="J22" s="24" t="s">
        <v>31</v>
      </c>
      <c r="K22" s="24" t="s">
        <v>618</v>
      </c>
      <c r="L22" s="24" t="s">
        <v>619</v>
      </c>
    </row>
    <row r="23" customFormat="false" ht="15" hidden="false" customHeight="false" outlineLevel="0" collapsed="false">
      <c r="B23" s="86" t="n">
        <v>0.4</v>
      </c>
      <c r="C23" s="65" t="n">
        <f aca="false">B23*ValorSubasta</f>
        <v>2831.38</v>
      </c>
      <c r="D23" s="87" t="str">
        <f aca="false">IF(C23&gt;=UmbralSetenta,"Aprobación directa (≥ 70%)",IF(C23&gt;=UmbralCincuenta,"Mejorable por ejecutado/ejecutante","&lt; 50%: decide el LAJ"))</f>
        <v>&lt; 50%: decide el LAJ</v>
      </c>
      <c r="E23" s="65" t="n">
        <f aca="false">IF(Regimen=1,TipoITP*MAX(C23,ValorReferencia),TipoIVA*C23*(1-IVADeducible))</f>
        <v>495.4915</v>
      </c>
      <c r="F23" s="65" t="n">
        <f aca="false">C23+E23+CostesFijosAdq+CosteTenenciaFlip</f>
        <v>4413.53816666667</v>
      </c>
      <c r="G23" s="65" t="n">
        <f aca="false">VentaNeta-F23</f>
        <v>4671.61183333333</v>
      </c>
      <c r="H23" s="88" t="n">
        <f aca="false">IF(F23&gt;0,G23/F23,0)</f>
        <v>1.05847319246399</v>
      </c>
      <c r="I23" s="88" t="n">
        <f aca="false">IF(MesVenta&gt;0,(1+H23)^(12/MesVenta)-1,0)</f>
        <v>1.95336975699188</v>
      </c>
      <c r="J23" s="65" t="n">
        <f aca="false">G23-MAX(0,G23)*TipoGanancia</f>
        <v>3784.005585</v>
      </c>
      <c r="K23" s="88" t="n">
        <f aca="false">NOIInicial/(C23+E23+CostesFijosAdq+CosteTenenciaAlq)</f>
        <v>0.055416674763692</v>
      </c>
      <c r="L23" s="20" t="str">
        <f aca="false">IF(AND(C23&gt;=UmbralSetenta,IF(Estrategia=1,H23&gt;=ROIObjetivo,K23&gt;=RentabObjetivo)),"Sí","No")</f>
        <v>No</v>
      </c>
    </row>
    <row r="24" customFormat="false" ht="15" hidden="false" customHeight="false" outlineLevel="0" collapsed="false">
      <c r="B24" s="86" t="n">
        <v>0.45</v>
      </c>
      <c r="C24" s="65" t="n">
        <f aca="false">B24*ValorSubasta</f>
        <v>3185.3025</v>
      </c>
      <c r="D24" s="87" t="str">
        <f aca="false">IF(C24&gt;=UmbralSetenta,"Aprobación directa (≥ 70%)",IF(C24&gt;=UmbralCincuenta,"Mejorable por ejecutado/ejecutante","&lt; 50%: decide el LAJ"))</f>
        <v>&lt; 50%: decide el LAJ</v>
      </c>
      <c r="E24" s="65" t="n">
        <f aca="false">IF(Regimen=1,TipoITP*MAX(C24,ValorReferencia),TipoIVA*C24*(1-IVADeducible))</f>
        <v>495.4915</v>
      </c>
      <c r="F24" s="65" t="n">
        <f aca="false">C24+E24+CostesFijosAdq+CosteTenenciaFlip</f>
        <v>4767.46066666667</v>
      </c>
      <c r="G24" s="65" t="n">
        <f aca="false">VentaNeta-F24</f>
        <v>4317.68933333333</v>
      </c>
      <c r="H24" s="88" t="n">
        <f aca="false">IF(F24&gt;0,G24/F24,0)</f>
        <v>0.905658092477183</v>
      </c>
      <c r="I24" s="88" t="n">
        <f aca="false">IF(MesVenta&gt;0,(1+H24)^(12/MesVenta)-1,0)</f>
        <v>1.63067668148822</v>
      </c>
      <c r="J24" s="65" t="n">
        <f aca="false">G24-MAX(0,G24)*TipoGanancia</f>
        <v>3497.32836</v>
      </c>
      <c r="K24" s="88" t="n">
        <f aca="false">NOIInicial/(C24+E24+CostesFijosAdq+CosteTenenciaAlq)</f>
        <v>0.051267891842589</v>
      </c>
      <c r="L24" s="20" t="str">
        <f aca="false">IF(AND(C24&gt;=UmbralSetenta,IF(Estrategia=1,H24&gt;=ROIObjetivo,K24&gt;=RentabObjetivo)),"Sí","No")</f>
        <v>No</v>
      </c>
    </row>
    <row r="25" customFormat="false" ht="15" hidden="false" customHeight="false" outlineLevel="0" collapsed="false">
      <c r="B25" s="86" t="n">
        <v>0.5</v>
      </c>
      <c r="C25" s="65" t="n">
        <f aca="false">B25*ValorSubasta</f>
        <v>3539.225</v>
      </c>
      <c r="D25" s="87" t="str">
        <f aca="false">IF(C25&gt;=UmbralSetenta,"Aprobación directa (≥ 70%)",IF(C25&gt;=UmbralCincuenta,"Mejorable por ejecutado/ejecutante","&lt; 50%: decide el LAJ"))</f>
        <v>Mejorable por ejecutado/ejecutante</v>
      </c>
      <c r="E25" s="65" t="n">
        <f aca="false">IF(Regimen=1,TipoITP*MAX(C25,ValorReferencia),TipoIVA*C25*(1-IVADeducible))</f>
        <v>495.4915</v>
      </c>
      <c r="F25" s="65" t="n">
        <f aca="false">C25+E25+CostesFijosAdq+CosteTenenciaFlip</f>
        <v>5121.38316666667</v>
      </c>
      <c r="G25" s="65" t="n">
        <f aca="false">VentaNeta-F25</f>
        <v>3963.76683333333</v>
      </c>
      <c r="H25" s="88" t="n">
        <f aca="false">IF(F25&gt;0,G25/F25,0)</f>
        <v>0.773964123429025</v>
      </c>
      <c r="I25" s="88" t="n">
        <f aca="false">IF(MesVenta&gt;0,(1+H25)^(12/MesVenta)-1,0)</f>
        <v>1.36274715362512</v>
      </c>
      <c r="J25" s="65" t="n">
        <f aca="false">G25-MAX(0,G25)*TipoGanancia</f>
        <v>3210.651135</v>
      </c>
      <c r="K25" s="88" t="n">
        <f aca="false">NOIInicial/(C25+E25+CostesFijosAdq+CosteTenenciaAlq)</f>
        <v>0.0476970411793902</v>
      </c>
      <c r="L25" s="20" t="str">
        <f aca="false">IF(AND(C25&gt;=UmbralSetenta,IF(Estrategia=1,H25&gt;=ROIObjetivo,K25&gt;=RentabObjetivo)),"Sí","No")</f>
        <v>No</v>
      </c>
    </row>
    <row r="26" customFormat="false" ht="15" hidden="false" customHeight="false" outlineLevel="0" collapsed="false">
      <c r="B26" s="86" t="n">
        <v>0.55</v>
      </c>
      <c r="C26" s="65" t="n">
        <f aca="false">B26*ValorSubasta</f>
        <v>3893.1475</v>
      </c>
      <c r="D26" s="87" t="str">
        <f aca="false">IF(C26&gt;=UmbralSetenta,"Aprobación directa (≥ 70%)",IF(C26&gt;=UmbralCincuenta,"Mejorable por ejecutado/ejecutante","&lt; 50%: decide el LAJ"))</f>
        <v>Mejorable por ejecutado/ejecutante</v>
      </c>
      <c r="E26" s="65" t="n">
        <f aca="false">IF(Regimen=1,TipoITP*MAX(C26,ValorReferencia),TipoIVA*C26*(1-IVADeducible))</f>
        <v>495.4915</v>
      </c>
      <c r="F26" s="65" t="n">
        <f aca="false">C26+E26+CostesFijosAdq+CosteTenenciaFlip</f>
        <v>5475.30566666667</v>
      </c>
      <c r="G26" s="65" t="n">
        <f aca="false">VentaNeta-F26</f>
        <v>3609.84433333333</v>
      </c>
      <c r="H26" s="88" t="n">
        <f aca="false">IF(F26&gt;0,G26/F26,0)</f>
        <v>0.65929549016959</v>
      </c>
      <c r="I26" s="88" t="n">
        <f aca="false">IF(MesVenta&gt;0,(1+H26)^(12/MesVenta)-1,0)</f>
        <v>1.13739898697649</v>
      </c>
      <c r="J26" s="65" t="n">
        <f aca="false">G26-MAX(0,G26)*TipoGanancia</f>
        <v>2923.97391</v>
      </c>
      <c r="K26" s="88" t="n">
        <f aca="false">NOIInicial/(C26+E26+CostesFijosAdq+CosteTenenciaAlq)</f>
        <v>0.0445912257768932</v>
      </c>
      <c r="L26" s="20" t="str">
        <f aca="false">IF(AND(C26&gt;=UmbralSetenta,IF(Estrategia=1,H26&gt;=ROIObjetivo,K26&gt;=RentabObjetivo)),"Sí","No")</f>
        <v>No</v>
      </c>
    </row>
    <row r="27" customFormat="false" ht="15" hidden="false" customHeight="false" outlineLevel="0" collapsed="false">
      <c r="B27" s="86" t="n">
        <v>0.6</v>
      </c>
      <c r="C27" s="65" t="n">
        <f aca="false">B27*ValorSubasta</f>
        <v>4247.07</v>
      </c>
      <c r="D27" s="87" t="str">
        <f aca="false">IF(C27&gt;=UmbralSetenta,"Aprobación directa (≥ 70%)",IF(C27&gt;=UmbralCincuenta,"Mejorable por ejecutado/ejecutante","&lt; 50%: decide el LAJ"))</f>
        <v>Mejorable por ejecutado/ejecutante</v>
      </c>
      <c r="E27" s="65" t="n">
        <f aca="false">IF(Regimen=1,TipoITP*MAX(C27,ValorReferencia),TipoIVA*C27*(1-IVADeducible))</f>
        <v>495.4915</v>
      </c>
      <c r="F27" s="65" t="n">
        <f aca="false">C27+E27+CostesFijosAdq+CosteTenenciaFlip</f>
        <v>5829.22816666667</v>
      </c>
      <c r="G27" s="65" t="n">
        <f aca="false">VentaNeta-F27</f>
        <v>3255.92183333333</v>
      </c>
      <c r="H27" s="88" t="n">
        <f aca="false">IF(F27&gt;0,G27/F27,0)</f>
        <v>0.558551104921867</v>
      </c>
      <c r="I27" s="88" t="n">
        <f aca="false">IF(MesVenta&gt;0,(1+H27)^(12/MesVenta)-1,0)</f>
        <v>0.945725501832573</v>
      </c>
      <c r="J27" s="65" t="n">
        <f aca="false">G27-MAX(0,G27)*TipoGanancia</f>
        <v>2637.296685</v>
      </c>
      <c r="K27" s="88" t="n">
        <f aca="false">NOIInicial/(C27+E27+CostesFijosAdq+CosteTenenciaAlq)</f>
        <v>0.0418651563163922</v>
      </c>
      <c r="L27" s="20" t="str">
        <f aca="false">IF(AND(C27&gt;=UmbralSetenta,IF(Estrategia=1,H27&gt;=ROIObjetivo,K27&gt;=RentabObjetivo)),"Sí","No")</f>
        <v>No</v>
      </c>
    </row>
    <row r="28" customFormat="false" ht="15" hidden="false" customHeight="false" outlineLevel="0" collapsed="false">
      <c r="B28" s="86" t="n">
        <v>0.65</v>
      </c>
      <c r="C28" s="65" t="n">
        <f aca="false">B28*ValorSubasta</f>
        <v>4600.9925</v>
      </c>
      <c r="D28" s="87" t="str">
        <f aca="false">IF(C28&gt;=UmbralSetenta,"Aprobación directa (≥ 70%)",IF(C28&gt;=UmbralCincuenta,"Mejorable por ejecutado/ejecutante","&lt; 50%: decide el LAJ"))</f>
        <v>Mejorable por ejecutado/ejecutante</v>
      </c>
      <c r="E28" s="65" t="n">
        <f aca="false">IF(Regimen=1,TipoITP*MAX(C28,ValorReferencia),TipoIVA*C28*(1-IVADeducible))</f>
        <v>495.4915</v>
      </c>
      <c r="F28" s="65" t="n">
        <f aca="false">C28+E28+CostesFijosAdq+CosteTenenciaFlip</f>
        <v>6183.15066666667</v>
      </c>
      <c r="G28" s="65" t="n">
        <f aca="false">VentaNeta-F28</f>
        <v>2901.99933333333</v>
      </c>
      <c r="H28" s="88" t="n">
        <f aca="false">IF(F28&gt;0,G28/F28,0)</f>
        <v>0.469339902871524</v>
      </c>
      <c r="I28" s="88" t="n">
        <f aca="false">IF(MesVenta&gt;0,(1+H28)^(12/MesVenta)-1,0)</f>
        <v>0.781079927914256</v>
      </c>
      <c r="J28" s="65" t="n">
        <f aca="false">G28-MAX(0,G28)*TipoGanancia</f>
        <v>2350.61946</v>
      </c>
      <c r="K28" s="88" t="n">
        <f aca="false">NOIInicial/(C28+E28+CostesFijosAdq+CosteTenenciaAlq)</f>
        <v>0.0394531984155731</v>
      </c>
      <c r="L28" s="20" t="str">
        <f aca="false">IF(AND(C28&gt;=UmbralSetenta,IF(Estrategia=1,H28&gt;=ROIObjetivo,K28&gt;=RentabObjetivo)),"Sí","No")</f>
        <v>No</v>
      </c>
    </row>
    <row r="29" customFormat="false" ht="15" hidden="false" customHeight="false" outlineLevel="0" collapsed="false">
      <c r="B29" s="86" t="n">
        <v>0.7</v>
      </c>
      <c r="C29" s="65" t="n">
        <f aca="false">B29*ValorSubasta</f>
        <v>4954.915</v>
      </c>
      <c r="D29" s="87" t="str">
        <f aca="false">IF(C29&gt;=UmbralSetenta,"Aprobación directa (≥ 70%)",IF(C29&gt;=UmbralCincuenta,"Mejorable por ejecutado/ejecutante","&lt; 50%: decide el LAJ"))</f>
        <v>Aprobación directa (≥ 70%)</v>
      </c>
      <c r="E29" s="65" t="n">
        <f aca="false">IF(Regimen=1,TipoITP*MAX(C29,ValorReferencia),TipoIVA*C29*(1-IVADeducible))</f>
        <v>495.4915</v>
      </c>
      <c r="F29" s="65" t="n">
        <f aca="false">C29+E29+CostesFijosAdq+CosteTenenciaFlip</f>
        <v>6537.07316666667</v>
      </c>
      <c r="G29" s="65" t="n">
        <f aca="false">VentaNeta-F29</f>
        <v>2548.07683333333</v>
      </c>
      <c r="H29" s="88" t="n">
        <f aca="false">IF(F29&gt;0,G29/F29,0)</f>
        <v>0.389788636040711</v>
      </c>
      <c r="I29" s="88" t="n">
        <f aca="false">IF(MesVenta&gt;0,(1+H29)^(12/MesVenta)-1,0)</f>
        <v>0.638412053595471</v>
      </c>
      <c r="J29" s="65" t="n">
        <f aca="false">G29-MAX(0,G29)*TipoGanancia</f>
        <v>2063.942235</v>
      </c>
      <c r="K29" s="88" t="n">
        <f aca="false">NOIInicial/(C29+E29+CostesFijosAdq+CosteTenenciaAlq)</f>
        <v>0.0373040191993262</v>
      </c>
      <c r="L29" s="20" t="str">
        <f aca="false">IF(AND(C29&gt;=UmbralSetenta,IF(Estrategia=1,H29&gt;=ROIObjetivo,K29&gt;=RentabObjetivo)),"Sí","No")</f>
        <v>Sí</v>
      </c>
    </row>
    <row r="30" customFormat="false" ht="15" hidden="false" customHeight="false" outlineLevel="0" collapsed="false">
      <c r="B30" s="86" t="n">
        <v>0.75</v>
      </c>
      <c r="C30" s="65" t="n">
        <f aca="false">B30*ValorSubasta</f>
        <v>5308.8375</v>
      </c>
      <c r="D30" s="87" t="str">
        <f aca="false">IF(C30&gt;=UmbralSetenta,"Aprobación directa (≥ 70%)",IF(C30&gt;=UmbralCincuenta,"Mejorable por ejecutado/ejecutante","&lt; 50%: decide el LAJ"))</f>
        <v>Aprobación directa (≥ 70%)</v>
      </c>
      <c r="E30" s="65" t="n">
        <f aca="false">IF(Regimen=1,TipoITP*MAX(C30,ValorReferencia),TipoIVA*C30*(1-IVADeducible))</f>
        <v>495.4915</v>
      </c>
      <c r="F30" s="65" t="n">
        <f aca="false">C30+E30+CostesFijosAdq+CosteTenenciaFlip</f>
        <v>6890.99566666667</v>
      </c>
      <c r="G30" s="65" t="n">
        <f aca="false">VentaNeta-F30</f>
        <v>2194.15433333333</v>
      </c>
      <c r="H30" s="88" t="n">
        <f aca="false">IF(F30&gt;0,G30/F30,0)</f>
        <v>0.318408897562795</v>
      </c>
      <c r="I30" s="88" t="n">
        <f aca="false">IF(MesVenta&gt;0,(1+H30)^(12/MesVenta)-1,0)</f>
        <v>0.513823308869229</v>
      </c>
      <c r="J30" s="65" t="n">
        <f aca="false">G30-MAX(0,G30)*TipoGanancia</f>
        <v>1777.26501</v>
      </c>
      <c r="K30" s="88" t="n">
        <f aca="false">NOIInicial/(C30+E30+CostesFijosAdq+CosteTenenciaAlq)</f>
        <v>0.0353768932197681</v>
      </c>
      <c r="L30" s="20" t="str">
        <f aca="false">IF(AND(C30&gt;=UmbralSetenta,IF(Estrategia=1,H30&gt;=ROIObjetivo,K30&gt;=RentabObjetivo)),"Sí","No")</f>
        <v>Sí</v>
      </c>
    </row>
    <row r="31" customFormat="false" ht="15" hidden="false" customHeight="false" outlineLevel="0" collapsed="false">
      <c r="B31" s="86" t="n">
        <v>0.8</v>
      </c>
      <c r="C31" s="65" t="n">
        <f aca="false">B31*ValorSubasta</f>
        <v>5662.76</v>
      </c>
      <c r="D31" s="87" t="str">
        <f aca="false">IF(C31&gt;=UmbralSetenta,"Aprobación directa (≥ 70%)",IF(C31&gt;=UmbralCincuenta,"Mejorable por ejecutado/ejecutante","&lt; 50%: decide el LAJ"))</f>
        <v>Aprobación directa (≥ 70%)</v>
      </c>
      <c r="E31" s="65" t="n">
        <f aca="false">IF(Regimen=1,TipoITP*MAX(C31,ValorReferencia),TipoIVA*C31*(1-IVADeducible))</f>
        <v>495.4915</v>
      </c>
      <c r="F31" s="65" t="n">
        <f aca="false">C31+E31+CostesFijosAdq+CosteTenenciaFlip</f>
        <v>7244.91816666667</v>
      </c>
      <c r="G31" s="65" t="n">
        <f aca="false">VentaNeta-F31</f>
        <v>1840.23183333333</v>
      </c>
      <c r="H31" s="88" t="n">
        <f aca="false">IF(F31&gt;0,G31/F31,0)</f>
        <v>0.254003122050447</v>
      </c>
      <c r="I31" s="88" t="n">
        <f aca="false">IF(MesVenta&gt;0,(1+H31)^(12/MesVenta)-1,0)</f>
        <v>0.40426129778596</v>
      </c>
      <c r="J31" s="65" t="n">
        <f aca="false">G31-MAX(0,G31)*TipoGanancia</f>
        <v>1490.587785</v>
      </c>
      <c r="K31" s="88" t="n">
        <f aca="false">NOIInicial/(C31+E31+CostesFijosAdq+CosteTenenciaAlq)</f>
        <v>0.0336390971475656</v>
      </c>
      <c r="L31" s="20" t="str">
        <f aca="false">IF(AND(C31&gt;=UmbralSetenta,IF(Estrategia=1,H31&gt;=ROIObjetivo,K31&gt;=RentabObjetivo)),"Sí","No")</f>
        <v>Sí</v>
      </c>
    </row>
    <row r="32" customFormat="false" ht="15" hidden="false" customHeight="false" outlineLevel="0" collapsed="false">
      <c r="B32" s="86" t="n">
        <v>0.85</v>
      </c>
      <c r="C32" s="65" t="n">
        <f aca="false">B32*ValorSubasta</f>
        <v>6016.6825</v>
      </c>
      <c r="D32" s="87" t="str">
        <f aca="false">IF(C32&gt;=UmbralSetenta,"Aprobación directa (≥ 70%)",IF(C32&gt;=UmbralCincuenta,"Mejorable por ejecutado/ejecutante","&lt; 50%: decide el LAJ"))</f>
        <v>Aprobación directa (≥ 70%)</v>
      </c>
      <c r="E32" s="65" t="n">
        <f aca="false">IF(Regimen=1,TipoITP*MAX(C32,ValorReferencia),TipoIVA*C32*(1-IVADeducible))</f>
        <v>495.4915</v>
      </c>
      <c r="F32" s="65" t="n">
        <f aca="false">C32+E32+CostesFijosAdq+CosteTenenciaFlip</f>
        <v>7598.84066666667</v>
      </c>
      <c r="G32" s="65" t="n">
        <f aca="false">VentaNeta-F32</f>
        <v>1486.30933333333</v>
      </c>
      <c r="H32" s="88" t="n">
        <f aca="false">IF(F32&gt;0,G32/F32,0)</f>
        <v>0.195596854643002</v>
      </c>
      <c r="I32" s="88" t="n">
        <f aca="false">IF(MesVenta&gt;0,(1+H32)^(12/MesVenta)-1,0)</f>
        <v>0.307305672890423</v>
      </c>
      <c r="J32" s="65" t="n">
        <f aca="false">G32-MAX(0,G32)*TipoGanancia</f>
        <v>1203.91056</v>
      </c>
      <c r="K32" s="88" t="n">
        <f aca="false">NOIInicial/(C32+E32+CostesFijosAdq+CosteTenenciaAlq)</f>
        <v>0.0320640363829286</v>
      </c>
      <c r="L32" s="20" t="str">
        <f aca="false">IF(AND(C32&gt;=UmbralSetenta,IF(Estrategia=1,H32&gt;=ROIObjetivo,K32&gt;=RentabObjetivo)),"Sí","No")</f>
        <v>No</v>
      </c>
    </row>
    <row r="33" customFormat="false" ht="15" hidden="false" customHeight="false" outlineLevel="0" collapsed="false">
      <c r="B33" s="86" t="n">
        <v>0.9</v>
      </c>
      <c r="C33" s="65" t="n">
        <f aca="false">B33*ValorSubasta</f>
        <v>6370.605</v>
      </c>
      <c r="D33" s="87" t="str">
        <f aca="false">IF(C33&gt;=UmbralSetenta,"Aprobación directa (≥ 70%)",IF(C33&gt;=UmbralCincuenta,"Mejorable por ejecutado/ejecutante","&lt; 50%: decide el LAJ"))</f>
        <v>Aprobación directa (≥ 70%)</v>
      </c>
      <c r="E33" s="65" t="n">
        <f aca="false">IF(Regimen=1,TipoITP*MAX(C33,ValorReferencia),TipoIVA*C33*(1-IVADeducible))</f>
        <v>495.4915</v>
      </c>
      <c r="F33" s="65" t="n">
        <f aca="false">C33+E33+CostesFijosAdq+CosteTenenciaFlip</f>
        <v>7952.76316666667</v>
      </c>
      <c r="G33" s="65" t="n">
        <f aca="false">VentaNeta-F33</f>
        <v>1132.38683333333</v>
      </c>
      <c r="H33" s="88" t="n">
        <f aca="false">IF(F33&gt;0,G33/F33,0)</f>
        <v>0.142389105472125</v>
      </c>
      <c r="I33" s="88" t="n">
        <f aca="false">IF(MesVenta&gt;0,(1+H33)^(12/MesVenta)-1,0)</f>
        <v>0.221015224644096</v>
      </c>
      <c r="J33" s="65" t="n">
        <f aca="false">G33-MAX(0,G33)*TipoGanancia</f>
        <v>917.233335</v>
      </c>
      <c r="K33" s="88" t="n">
        <f aca="false">NOIInicial/(C33+E33+CostesFijosAdq+CosteTenenciaAlq)</f>
        <v>0.030629874424873</v>
      </c>
      <c r="L33" s="20" t="str">
        <f aca="false">IF(AND(C33&gt;=UmbralSetenta,IF(Estrategia=1,H33&gt;=ROIObjetivo,K33&gt;=RentabObjetivo)),"Sí","No")</f>
        <v>No</v>
      </c>
    </row>
    <row r="34" customFormat="false" ht="15" hidden="false" customHeight="false" outlineLevel="0" collapsed="false">
      <c r="B34" s="86" t="n">
        <v>0.95</v>
      </c>
      <c r="C34" s="65" t="n">
        <f aca="false">B34*ValorSubasta</f>
        <v>6724.5275</v>
      </c>
      <c r="D34" s="87" t="str">
        <f aca="false">IF(C34&gt;=UmbralSetenta,"Aprobación directa (≥ 70%)",IF(C34&gt;=UmbralCincuenta,"Mejorable por ejecutado/ejecutante","&lt; 50%: decide el LAJ"))</f>
        <v>Aprobación directa (≥ 70%)</v>
      </c>
      <c r="E34" s="65" t="n">
        <f aca="false">IF(Regimen=1,TipoITP*MAX(C34,ValorReferencia),TipoIVA*C34*(1-IVADeducible))</f>
        <v>495.4915</v>
      </c>
      <c r="F34" s="65" t="n">
        <f aca="false">C34+E34+CostesFijosAdq+CosteTenenciaFlip</f>
        <v>8306.68566666667</v>
      </c>
      <c r="G34" s="65" t="n">
        <f aca="false">VentaNeta-F34</f>
        <v>778.464333333333</v>
      </c>
      <c r="H34" s="88" t="n">
        <f aca="false">IF(F34&gt;0,G34/F34,0)</f>
        <v>0.0937153955948014</v>
      </c>
      <c r="I34" s="88" t="n">
        <f aca="false">IF(MesVenta&gt;0,(1+H34)^(12/MesVenta)-1,0)</f>
        <v>0.14381684522661</v>
      </c>
      <c r="J34" s="65" t="n">
        <f aca="false">G34-MAX(0,G34)*TipoGanancia</f>
        <v>630.55611</v>
      </c>
      <c r="K34" s="88" t="n">
        <f aca="false">NOIInicial/(C34+E34+CostesFijosAdq+CosteTenenciaAlq)</f>
        <v>0.0293185143262486</v>
      </c>
      <c r="L34" s="20" t="str">
        <f aca="false">IF(AND(C34&gt;=UmbralSetenta,IF(Estrategia=1,H34&gt;=ROIObjetivo,K34&gt;=RentabObjetivo)),"Sí","No")</f>
        <v>No</v>
      </c>
    </row>
    <row r="35" customFormat="false" ht="15" hidden="false" customHeight="false" outlineLevel="0" collapsed="false">
      <c r="B35" s="86" t="n">
        <v>1</v>
      </c>
      <c r="C35" s="65" t="n">
        <f aca="false">B35*ValorSubasta</f>
        <v>7078.45</v>
      </c>
      <c r="D35" s="87" t="str">
        <f aca="false">IF(C35&gt;=UmbralSetenta,"Aprobación directa (≥ 70%)",IF(C35&gt;=UmbralCincuenta,"Mejorable por ejecutado/ejecutante","&lt; 50%: decide el LAJ"))</f>
        <v>Aprobación directa (≥ 70%)</v>
      </c>
      <c r="E35" s="65" t="n">
        <f aca="false">IF(Regimen=1,TipoITP*MAX(C35,ValorReferencia),TipoIVA*C35*(1-IVADeducible))</f>
        <v>495.4915</v>
      </c>
      <c r="F35" s="65" t="n">
        <f aca="false">C35+E35+CostesFijosAdq+CosteTenenciaFlip</f>
        <v>8660.60816666667</v>
      </c>
      <c r="G35" s="65" t="n">
        <f aca="false">VentaNeta-F35</f>
        <v>424.541833333333</v>
      </c>
      <c r="H35" s="88" t="n">
        <f aca="false">IF(F35&gt;0,G35/F35,0)</f>
        <v>0.049019863866758</v>
      </c>
      <c r="I35" s="88" t="n">
        <f aca="false">IF(MesVenta&gt;0,(1+H35)^(12/MesVenta)-1,0)</f>
        <v>0.0744236710433472</v>
      </c>
      <c r="J35" s="65" t="n">
        <f aca="false">G35-MAX(0,G35)*TipoGanancia</f>
        <v>343.878885</v>
      </c>
      <c r="K35" s="88" t="n">
        <f aca="false">NOIInicial/(C35+E35+CostesFijosAdq+CosteTenenciaAlq)</f>
        <v>0.0281148310493825</v>
      </c>
      <c r="L35" s="20" t="str">
        <f aca="false">IF(AND(C35&gt;=UmbralSetenta,IF(Estrategia=1,H35&gt;=ROIObjetivo,K35&gt;=RentabObjetivo)),"Sí","No")</f>
        <v>No</v>
      </c>
    </row>
    <row r="36" customFormat="false" ht="15" hidden="false" customHeight="false" outlineLevel="0" collapsed="false">
      <c r="B36" s="86" t="n">
        <v>1.05</v>
      </c>
      <c r="C36" s="65" t="n">
        <f aca="false">B36*ValorSubasta</f>
        <v>7432.3725</v>
      </c>
      <c r="D36" s="87" t="str">
        <f aca="false">IF(C36&gt;=UmbralSetenta,"Aprobación directa (≥ 70%)",IF(C36&gt;=UmbralCincuenta,"Mejorable por ejecutado/ejecutante","&lt; 50%: decide el LAJ"))</f>
        <v>Aprobación directa (≥ 70%)</v>
      </c>
      <c r="E36" s="65" t="n">
        <f aca="false">IF(Regimen=1,TipoITP*MAX(C36,ValorReferencia),TipoIVA*C36*(1-IVADeducible))</f>
        <v>520.266075</v>
      </c>
      <c r="F36" s="65" t="n">
        <f aca="false">C36+E36+CostesFijosAdq+CosteTenenciaFlip</f>
        <v>9039.30524166667</v>
      </c>
      <c r="G36" s="65" t="n">
        <f aca="false">VentaNeta-F36</f>
        <v>45.8447583333327</v>
      </c>
      <c r="H36" s="88" t="n">
        <f aca="false">IF(F36&gt;0,G36/F36,0)</f>
        <v>0.00507171260485943</v>
      </c>
      <c r="I36" s="88" t="n">
        <f aca="false">IF(MesVenta&gt;0,(1+H36)^(12/MesVenta)-1,0)</f>
        <v>0.00761720662003973</v>
      </c>
      <c r="J36" s="65" t="n">
        <f aca="false">G36-MAX(0,G36)*TipoGanancia</f>
        <v>37.1342542499995</v>
      </c>
      <c r="K36" s="88" t="n">
        <f aca="false">NOIInicial/(C36+E36+CostesFijosAdq+CosteTenenciaAlq)</f>
        <v>0.0269317392443368</v>
      </c>
      <c r="L36" s="20" t="str">
        <f aca="false">IF(AND(C36&gt;=UmbralSetenta,IF(Estrategia=1,H36&gt;=ROIObjetivo,K36&gt;=RentabObjetivo)),"Sí","No")</f>
        <v>No</v>
      </c>
    </row>
    <row r="37" customFormat="false" ht="15" hidden="false" customHeight="false" outlineLevel="0" collapsed="false">
      <c r="B37" s="86" t="n">
        <v>1.1</v>
      </c>
      <c r="C37" s="65" t="n">
        <f aca="false">B37*ValorSubasta</f>
        <v>7786.295</v>
      </c>
      <c r="D37" s="87" t="str">
        <f aca="false">IF(C37&gt;=UmbralSetenta,"Aprobación directa (≥ 70%)",IF(C37&gt;=UmbralCincuenta,"Mejorable por ejecutado/ejecutante","&lt; 50%: decide el LAJ"))</f>
        <v>Aprobación directa (≥ 70%)</v>
      </c>
      <c r="E37" s="65" t="n">
        <f aca="false">IF(Regimen=1,TipoITP*MAX(C37,ValorReferencia),TipoIVA*C37*(1-IVADeducible))</f>
        <v>545.04065</v>
      </c>
      <c r="F37" s="65" t="n">
        <f aca="false">C37+E37+CostesFijosAdq+CosteTenenciaFlip</f>
        <v>9418.00231666667</v>
      </c>
      <c r="G37" s="65" t="n">
        <f aca="false">VentaNeta-F37</f>
        <v>-332.852316666667</v>
      </c>
      <c r="H37" s="88" t="n">
        <f aca="false">IF(F37&gt;0,G37/F37,0)</f>
        <v>-0.0353421357815587</v>
      </c>
      <c r="I37" s="88" t="n">
        <f aca="false">IF(MesVenta&gt;0,(1+H37)^(12/MesVenta)-1,0)</f>
        <v>-0.052542007443016</v>
      </c>
      <c r="J37" s="65" t="n">
        <f aca="false">G37-MAX(0,G37)*TipoGanancia</f>
        <v>-332.852316666667</v>
      </c>
      <c r="K37" s="88" t="n">
        <f aca="false">NOIInicial/(C37+E37+CostesFijosAdq+CosteTenenciaAlq)</f>
        <v>0.0258441972996769</v>
      </c>
      <c r="L37" s="20" t="str">
        <f aca="false">IF(AND(C37&gt;=UmbralSetenta,IF(Estrategia=1,H37&gt;=ROIObjetivo,K37&gt;=RentabObjetivo)),"Sí","No")</f>
        <v>No</v>
      </c>
    </row>
    <row r="38" customFormat="false" ht="15" hidden="false" customHeight="false" outlineLevel="0" collapsed="false">
      <c r="B38" s="86" t="n">
        <v>1.15</v>
      </c>
      <c r="C38" s="65" t="n">
        <f aca="false">B38*ValorSubasta</f>
        <v>8140.2175</v>
      </c>
      <c r="D38" s="87" t="str">
        <f aca="false">IF(C38&gt;=UmbralSetenta,"Aprobación directa (≥ 70%)",IF(C38&gt;=UmbralCincuenta,"Mejorable por ejecutado/ejecutante","&lt; 50%: decide el LAJ"))</f>
        <v>Aprobación directa (≥ 70%)</v>
      </c>
      <c r="E38" s="65" t="n">
        <f aca="false">IF(Regimen=1,TipoITP*MAX(C38,ValorReferencia),TipoIVA*C38*(1-IVADeducible))</f>
        <v>569.815225</v>
      </c>
      <c r="F38" s="65" t="n">
        <f aca="false">C38+E38+CostesFijosAdq+CosteTenenciaFlip</f>
        <v>9796.69939166667</v>
      </c>
      <c r="G38" s="65" t="n">
        <f aca="false">VentaNeta-F38</f>
        <v>-711.549391666666</v>
      </c>
      <c r="H38" s="88" t="n">
        <f aca="false">IF(F38&gt;0,G38/F38,0)</f>
        <v>-0.0726315428512514</v>
      </c>
      <c r="I38" s="88" t="n">
        <f aca="false">IF(MesVenta&gt;0,(1+H38)^(12/MesVenta)-1,0)</f>
        <v>-0.106944437148518</v>
      </c>
      <c r="J38" s="65" t="n">
        <f aca="false">G38-MAX(0,G38)*TipoGanancia</f>
        <v>-711.549391666666</v>
      </c>
      <c r="K38" s="88" t="n">
        <f aca="false">NOIInicial/(C38+E38+CostesFijosAdq+CosteTenenciaAlq)</f>
        <v>0.0248410791825532</v>
      </c>
      <c r="L38" s="20" t="str">
        <f aca="false">IF(AND(C38&gt;=UmbralSetenta,IF(Estrategia=1,H38&gt;=ROIObjetivo,K38&gt;=RentabObjetivo)),"Sí","No")</f>
        <v>No</v>
      </c>
    </row>
    <row r="39" customFormat="false" ht="15" hidden="false" customHeight="false" outlineLevel="0" collapsed="false">
      <c r="B39" s="86" t="n">
        <v>1.2</v>
      </c>
      <c r="C39" s="65" t="n">
        <f aca="false">B39*ValorSubasta</f>
        <v>8494.14</v>
      </c>
      <c r="D39" s="87" t="str">
        <f aca="false">IF(C39&gt;=UmbralSetenta,"Aprobación directa (≥ 70%)",IF(C39&gt;=UmbralCincuenta,"Mejorable por ejecutado/ejecutante","&lt; 50%: decide el LAJ"))</f>
        <v>Aprobación directa (≥ 70%)</v>
      </c>
      <c r="E39" s="65" t="n">
        <f aca="false">IF(Regimen=1,TipoITP*MAX(C39,ValorReferencia),TipoIVA*C39*(1-IVADeducible))</f>
        <v>594.5898</v>
      </c>
      <c r="F39" s="65" t="n">
        <f aca="false">C39+E39+CostesFijosAdq+CosteTenenciaFlip</f>
        <v>10175.3964666667</v>
      </c>
      <c r="G39" s="65" t="n">
        <f aca="false">VentaNeta-F39</f>
        <v>-1090.24646666667</v>
      </c>
      <c r="H39" s="88" t="n">
        <f aca="false">IF(F39&gt;0,G39/F39,0)</f>
        <v>-0.107145354998027</v>
      </c>
      <c r="I39" s="88" t="n">
        <f aca="false">IF(MesVenta&gt;0,(1+H39)^(12/MesVenta)-1,0)</f>
        <v>-0.156332841693136</v>
      </c>
      <c r="J39" s="65" t="n">
        <f aca="false">G39-MAX(0,G39)*TipoGanancia</f>
        <v>-1090.24646666667</v>
      </c>
      <c r="K39" s="88" t="n">
        <f aca="false">NOIInicial/(C39+E39+CostesFijosAdq+CosteTenenciaAlq)</f>
        <v>0.0239129217042331</v>
      </c>
      <c r="L39" s="20" t="str">
        <f aca="false">IF(AND(C39&gt;=UmbralSetenta,IF(Estrategia=1,H39&gt;=ROIObjetivo,K39&gt;=RentabObjetivo)),"Sí","No")</f>
        <v>No</v>
      </c>
    </row>
    <row r="40" customFormat="false" ht="15" hidden="false" customHeight="false" outlineLevel="0" collapsed="false">
      <c r="B40" s="86" t="n">
        <v>1.25</v>
      </c>
      <c r="C40" s="65" t="n">
        <f aca="false">B40*ValorSubasta</f>
        <v>8848.0625</v>
      </c>
      <c r="D40" s="87" t="str">
        <f aca="false">IF(C40&gt;=UmbralSetenta,"Aprobación directa (≥ 70%)",IF(C40&gt;=UmbralCincuenta,"Mejorable por ejecutado/ejecutante","&lt; 50%: decide el LAJ"))</f>
        <v>Aprobación directa (≥ 70%)</v>
      </c>
      <c r="E40" s="65" t="n">
        <f aca="false">IF(Regimen=1,TipoITP*MAX(C40,ValorReferencia),TipoIVA*C40*(1-IVADeducible))</f>
        <v>619.364375</v>
      </c>
      <c r="F40" s="65" t="n">
        <f aca="false">C40+E40+CostesFijosAdq+CosteTenenciaFlip</f>
        <v>10554.0935416667</v>
      </c>
      <c r="G40" s="65" t="n">
        <f aca="false">VentaNeta-F40</f>
        <v>-1468.94354166667</v>
      </c>
      <c r="H40" s="88" t="n">
        <f aca="false">IF(F40&gt;0,G40/F40,0)</f>
        <v>-0.139182350039575</v>
      </c>
      <c r="I40" s="88" t="n">
        <f aca="false">IF(MesVenta&gt;0,(1+H40)^(12/MesVenta)-1,0)</f>
        <v>-0.201331153016726</v>
      </c>
      <c r="J40" s="65" t="n">
        <f aca="false">G40-MAX(0,G40)*TipoGanancia</f>
        <v>-1468.94354166667</v>
      </c>
      <c r="K40" s="88" t="n">
        <f aca="false">NOIInicial/(C40+E40+CostesFijosAdq+CosteTenenciaAlq)</f>
        <v>0.0230516250581447</v>
      </c>
      <c r="L40" s="20" t="str">
        <f aca="false">IF(AND(C40&gt;=UmbralSetenta,IF(Estrategia=1,H40&gt;=ROIObjetivo,K40&gt;=RentabObjetivo)),"Sí","No")</f>
        <v>No</v>
      </c>
    </row>
    <row r="41" customFormat="false" ht="15" hidden="false" customHeight="false" outlineLevel="0" collapsed="false">
      <c r="B41" s="86" t="n">
        <v>1.3</v>
      </c>
      <c r="C41" s="65" t="n">
        <f aca="false">B41*ValorSubasta</f>
        <v>9201.985</v>
      </c>
      <c r="D41" s="87" t="str">
        <f aca="false">IF(C41&gt;=UmbralSetenta,"Aprobación directa (≥ 70%)",IF(C41&gt;=UmbralCincuenta,"Mejorable por ejecutado/ejecutante","&lt; 50%: decide el LAJ"))</f>
        <v>Aprobación directa (≥ 70%)</v>
      </c>
      <c r="E41" s="65" t="n">
        <f aca="false">IF(Regimen=1,TipoITP*MAX(C41,ValorReferencia),TipoIVA*C41*(1-IVADeducible))</f>
        <v>644.13895</v>
      </c>
      <c r="F41" s="65" t="n">
        <f aca="false">C41+E41+CostesFijosAdq+CosteTenenciaFlip</f>
        <v>10932.7906166667</v>
      </c>
      <c r="G41" s="65" t="n">
        <f aca="false">VentaNeta-F41</f>
        <v>-1847.64061666667</v>
      </c>
      <c r="H41" s="88" t="n">
        <f aca="false">IF(F41&gt;0,G41/F41,0)</f>
        <v>-0.168999908756142</v>
      </c>
      <c r="I41" s="88" t="n">
        <f aca="false">IF(MesVenta&gt;0,(1+H41)^(12/MesVenta)-1,0)</f>
        <v>-0.242466911595031</v>
      </c>
      <c r="J41" s="65" t="n">
        <f aca="false">G41-MAX(0,G41)*TipoGanancia</f>
        <v>-1847.64061666667</v>
      </c>
      <c r="K41" s="88" t="n">
        <f aca="false">NOIInicial/(C41+E41+CostesFijosAdq+CosteTenenciaAlq)</f>
        <v>0.0222502158242098</v>
      </c>
      <c r="L41" s="20" t="str">
        <f aca="false">IF(AND(C41&gt;=UmbralSetenta,IF(Estrategia=1,H41&gt;=ROIObjetivo,K41&gt;=RentabObjetivo)),"Sí","No")</f>
        <v>No</v>
      </c>
    </row>
    <row r="42" customFormat="false" ht="15" hidden="false" customHeight="false" outlineLevel="0" collapsed="false">
      <c r="B42" s="86" t="n">
        <v>1.35</v>
      </c>
      <c r="C42" s="65" t="n">
        <f aca="false">B42*ValorSubasta</f>
        <v>9555.9075</v>
      </c>
      <c r="D42" s="87" t="str">
        <f aca="false">IF(C42&gt;=UmbralSetenta,"Aprobación directa (≥ 70%)",IF(C42&gt;=UmbralCincuenta,"Mejorable por ejecutado/ejecutante","&lt; 50%: decide el LAJ"))</f>
        <v>Aprobación directa (≥ 70%)</v>
      </c>
      <c r="E42" s="65" t="n">
        <f aca="false">IF(Regimen=1,TipoITP*MAX(C42,ValorReferencia),TipoIVA*C42*(1-IVADeducible))</f>
        <v>668.913525</v>
      </c>
      <c r="F42" s="65" t="n">
        <f aca="false">C42+E42+CostesFijosAdq+CosteTenenciaFlip</f>
        <v>11311.4876916667</v>
      </c>
      <c r="G42" s="65" t="n">
        <f aca="false">VentaNeta-F42</f>
        <v>-2226.33769166667</v>
      </c>
      <c r="H42" s="88" t="n">
        <f aca="false">IF(F42&gt;0,G42/F42,0)</f>
        <v>-0.196820944543558</v>
      </c>
      <c r="I42" s="88" t="n">
        <f aca="false">IF(MesVenta&gt;0,(1+H42)^(12/MesVenta)-1,0)</f>
        <v>-0.280188862304992</v>
      </c>
      <c r="J42" s="65" t="n">
        <f aca="false">G42-MAX(0,G42)*TipoGanancia</f>
        <v>-2226.33769166667</v>
      </c>
      <c r="K42" s="88" t="n">
        <f aca="false">NOIInicial/(C42+E42+CostesFijosAdq+CosteTenenciaAlq)</f>
        <v>0.02150265774836</v>
      </c>
      <c r="L42" s="20" t="str">
        <f aca="false">IF(AND(C42&gt;=UmbralSetenta,IF(Estrategia=1,H42&gt;=ROIObjetivo,K42&gt;=RentabObjetivo)),"Sí","No")</f>
        <v>No</v>
      </c>
    </row>
    <row r="43" customFormat="false" ht="15" hidden="false" customHeight="false" outlineLevel="0" collapsed="false">
      <c r="B43" s="86" t="n">
        <v>1.4</v>
      </c>
      <c r="C43" s="65" t="n">
        <f aca="false">B43*ValorSubasta</f>
        <v>9909.83</v>
      </c>
      <c r="D43" s="87" t="str">
        <f aca="false">IF(C43&gt;=UmbralSetenta,"Aprobación directa (≥ 70%)",IF(C43&gt;=UmbralCincuenta,"Mejorable por ejecutado/ejecutante","&lt; 50%: decide el LAJ"))</f>
        <v>Aprobación directa (≥ 70%)</v>
      </c>
      <c r="E43" s="65" t="n">
        <f aca="false">IF(Regimen=1,TipoITP*MAX(C43,ValorReferencia),TipoIVA*C43*(1-IVADeducible))</f>
        <v>693.6881</v>
      </c>
      <c r="F43" s="65" t="n">
        <f aca="false">C43+E43+CostesFijosAdq+CosteTenenciaFlip</f>
        <v>11690.1847666667</v>
      </c>
      <c r="G43" s="65" t="n">
        <f aca="false">VentaNeta-F43</f>
        <v>-2605.03476666667</v>
      </c>
      <c r="H43" s="88" t="n">
        <f aca="false">IF(F43&gt;0,G43/F43,0)</f>
        <v>-0.222839486172592</v>
      </c>
      <c r="I43" s="88" t="n">
        <f aca="false">IF(MesVenta&gt;0,(1+H43)^(12/MesVenta)-1,0)</f>
        <v>-0.314880876329418</v>
      </c>
      <c r="J43" s="65" t="n">
        <f aca="false">G43-MAX(0,G43)*TipoGanancia</f>
        <v>-2605.03476666667</v>
      </c>
      <c r="K43" s="88" t="n">
        <f aca="false">NOIInicial/(C43+E43+CostesFijosAdq+CosteTenenciaAlq)</f>
        <v>0.0208036994264861</v>
      </c>
      <c r="L43" s="20" t="str">
        <f aca="false">IF(AND(C43&gt;=UmbralSetenta,IF(Estrategia=1,H43&gt;=ROIObjetivo,K43&gt;=RentabObjetivo)),"Sí","No")</f>
        <v>No</v>
      </c>
    </row>
    <row r="44" customFormat="false" ht="15" hidden="false" customHeight="false" outlineLevel="0" collapsed="false">
      <c r="B44" s="86" t="n">
        <v>1.45</v>
      </c>
      <c r="C44" s="65" t="n">
        <f aca="false">B44*ValorSubasta</f>
        <v>10263.7525</v>
      </c>
      <c r="D44" s="87" t="str">
        <f aca="false">IF(C44&gt;=UmbralSetenta,"Aprobación directa (≥ 70%)",IF(C44&gt;=UmbralCincuenta,"Mejorable por ejecutado/ejecutante","&lt; 50%: decide el LAJ"))</f>
        <v>Aprobación directa (≥ 70%)</v>
      </c>
      <c r="E44" s="65" t="n">
        <f aca="false">IF(Regimen=1,TipoITP*MAX(C44,ValorReferencia),TipoIVA*C44*(1-IVADeducible))</f>
        <v>718.462675</v>
      </c>
      <c r="F44" s="65" t="n">
        <f aca="false">C44+E44+CostesFijosAdq+CosteTenenciaFlip</f>
        <v>12068.8818416667</v>
      </c>
      <c r="G44" s="65" t="n">
        <f aca="false">VentaNeta-F44</f>
        <v>-2983.73184166667</v>
      </c>
      <c r="H44" s="88" t="n">
        <f aca="false">IF(F44&gt;0,G44/F44,0)</f>
        <v>-0.24722520949419</v>
      </c>
      <c r="I44" s="88" t="n">
        <f aca="false">IF(MesVenta&gt;0,(1+H44)^(12/MesVenta)-1,0)</f>
        <v>-0.346873056647301</v>
      </c>
      <c r="J44" s="65" t="n">
        <f aca="false">G44-MAX(0,G44)*TipoGanancia</f>
        <v>-2983.73184166667</v>
      </c>
      <c r="K44" s="88" t="n">
        <f aca="false">NOIInicial/(C44+E44+CostesFijosAdq+CosteTenenciaAlq)</f>
        <v>0.0201487507599608</v>
      </c>
      <c r="L44" s="20" t="str">
        <f aca="false">IF(AND(C44&gt;=UmbralSetenta,IF(Estrategia=1,H44&gt;=ROIObjetivo,K44&gt;=RentabObjetivo)),"Sí","No")</f>
        <v>No</v>
      </c>
    </row>
    <row r="45" customFormat="false" ht="15" hidden="false" customHeight="false" outlineLevel="0" collapsed="false">
      <c r="B45" s="86" t="n">
        <v>1.5</v>
      </c>
      <c r="C45" s="65" t="n">
        <f aca="false">B45*ValorSubasta</f>
        <v>10617.675</v>
      </c>
      <c r="D45" s="87" t="str">
        <f aca="false">IF(C45&gt;=UmbralSetenta,"Aprobación directa (≥ 70%)",IF(C45&gt;=UmbralCincuenta,"Mejorable por ejecutado/ejecutante","&lt; 50%: decide el LAJ"))</f>
        <v>Aprobación directa (≥ 70%)</v>
      </c>
      <c r="E45" s="65" t="n">
        <f aca="false">IF(Regimen=1,TipoITP*MAX(C45,ValorReferencia),TipoIVA*C45*(1-IVADeducible))</f>
        <v>743.23725</v>
      </c>
      <c r="F45" s="65" t="n">
        <f aca="false">C45+E45+CostesFijosAdq+CosteTenenciaFlip</f>
        <v>12447.5789166667</v>
      </c>
      <c r="G45" s="65" t="n">
        <f aca="false">VentaNeta-F45</f>
        <v>-3362.42891666667</v>
      </c>
      <c r="H45" s="88" t="n">
        <f aca="false">IF(F45&gt;0,G45/F45,0)</f>
        <v>-0.270127141926736</v>
      </c>
      <c r="I45" s="88" t="n">
        <f aca="false">IF(MesVenta&gt;0,(1+H45)^(12/MesVenta)-1,0)</f>
        <v>-0.376450664661429</v>
      </c>
      <c r="J45" s="65" t="n">
        <f aca="false">G45-MAX(0,G45)*TipoGanancia</f>
        <v>-3362.42891666667</v>
      </c>
      <c r="K45" s="88" t="n">
        <f aca="false">NOIInicial/(C45+E45+CostesFijosAdq+CosteTenenciaAlq)</f>
        <v>0.0195337820356877</v>
      </c>
      <c r="L45" s="20" t="str">
        <f aca="false">IF(AND(C45&gt;=UmbralSetenta,IF(Estrategia=1,H45&gt;=ROIObjetivo,K45&gt;=RentabObjetivo)),"Sí","No")</f>
        <v>No</v>
      </c>
    </row>
  </sheetData>
  <conditionalFormatting sqref="L23:L45">
    <cfRule type="cellIs" priority="2" operator="equal" aboveAverage="0" equalAverage="0" bottom="0" percent="0" rank="0" text="" dxfId="0">
      <formula>"Sí"</formula>
    </cfRule>
    <cfRule type="cellIs" priority="3" operator="equal" aboveAverage="0" equalAverage="0" bottom="0" percent="0" rank="0" text="" dxfId="2">
      <formula>"No"</formula>
    </cfRule>
  </conditionalFormatting>
  <conditionalFormatting sqref="G23:G45">
    <cfRule type="cellIs" priority="4" operator="lessThan" aboveAverage="0" equalAverage="0" bottom="0" percent="0" rank="0" text="" dxfId="3">
      <formula>0</formula>
    </cfRule>
  </conditionalFormatting>
  <conditionalFormatting sqref="D23:D45">
    <cfRule type="expression" priority="5" aboveAverage="0" equalAverage="0" bottom="0" percent="0" rank="0" text="" dxfId="1">
      <formula>$C23&lt;UmbralSetenta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true"/>
  </sheetPr>
  <dimension ref="B2:I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9" min="3" style="0" width="13"/>
  </cols>
  <sheetData>
    <row r="2" customFormat="false" ht="19.7" hidden="false" customHeight="false" outlineLevel="0" collapsed="false">
      <c r="B2" s="1" t="s">
        <v>620</v>
      </c>
    </row>
    <row r="3" customFormat="false" ht="15" hidden="false" customHeight="false" outlineLevel="0" collapsed="false">
      <c r="B3" s="2" t="s">
        <v>621</v>
      </c>
    </row>
    <row r="5" customFormat="false" ht="15" hidden="false" customHeight="false" outlineLevel="0" collapsed="false">
      <c r="B5" s="3" t="s">
        <v>622</v>
      </c>
      <c r="C5" s="89" t="n">
        <f aca="false">Puja</f>
        <v>5500</v>
      </c>
      <c r="D5" s="3" t="s">
        <v>623</v>
      </c>
      <c r="E5" s="89" t="n">
        <f aca="false">PrecioVenta</f>
        <v>10000</v>
      </c>
      <c r="F5" s="3" t="s">
        <v>624</v>
      </c>
      <c r="G5" s="89" t="n">
        <f aca="false">Renta</f>
        <v>45</v>
      </c>
    </row>
    <row r="7" customFormat="false" ht="15" hidden="false" customHeight="false" outlineLevel="0" collapsed="false">
      <c r="B7" s="6" t="s">
        <v>625</v>
      </c>
      <c r="C7" s="7"/>
      <c r="D7" s="7"/>
      <c r="E7" s="7"/>
      <c r="F7" s="7"/>
      <c r="G7" s="7"/>
      <c r="H7" s="7"/>
      <c r="I7" s="7"/>
    </row>
    <row r="8" customFormat="false" ht="15" hidden="false" customHeight="false" outlineLevel="0" collapsed="false">
      <c r="B8" s="24" t="s">
        <v>626</v>
      </c>
      <c r="C8" s="90" t="n">
        <v>7000</v>
      </c>
      <c r="D8" s="90" t="n">
        <v>8000</v>
      </c>
      <c r="E8" s="90" t="n">
        <v>9000</v>
      </c>
      <c r="F8" s="90" t="n">
        <v>10000</v>
      </c>
      <c r="G8" s="90" t="n">
        <v>11000</v>
      </c>
      <c r="H8" s="90" t="n">
        <v>12000</v>
      </c>
      <c r="I8" s="90" t="n">
        <v>13000</v>
      </c>
    </row>
    <row r="9" customFormat="false" ht="15" hidden="false" customHeight="false" outlineLevel="0" collapsed="false">
      <c r="B9" s="90" t="n">
        <v>4000</v>
      </c>
      <c r="C9" s="91" t="n">
        <f aca="false">(C$8*(1-DescuentoNeg)*(1-ComisionVenta*(1+TipoIVA))-Plusvalia)-($B9+IF(Regimen=1,TipoITP*MAX($B9,ValorReferencia),TipoIVA*$B9*(1-IVADeducible))+CostesFijosAdq+CosteTenenciaFlip)</f>
        <v>756.446833333333</v>
      </c>
      <c r="D9" s="91" t="n">
        <f aca="false">(D$8*(1-DescuentoNeg)*(1-ComisionVenta*(1+TipoIVA))-Plusvalia)-($B9+IF(Regimen=1,TipoITP*MAX($B9,ValorReferencia),TipoIVA*$B9*(1-IVADeducible))+CostesFijosAdq+CosteTenenciaFlip)</f>
        <v>1671.96183333333</v>
      </c>
      <c r="E9" s="91" t="n">
        <f aca="false">(E$8*(1-DescuentoNeg)*(1-ComisionVenta*(1+TipoIVA))-Plusvalia)-($B9+IF(Regimen=1,TipoITP*MAX($B9,ValorReferencia),TipoIVA*$B9*(1-IVADeducible))+CostesFijosAdq+CosteTenenciaFlip)</f>
        <v>2587.47683333333</v>
      </c>
      <c r="F9" s="91" t="n">
        <f aca="false">(F$8*(1-DescuentoNeg)*(1-ComisionVenta*(1+TipoIVA))-Plusvalia)-($B9+IF(Regimen=1,TipoITP*MAX($B9,ValorReferencia),TipoIVA*$B9*(1-IVADeducible))+CostesFijosAdq+CosteTenenciaFlip)</f>
        <v>3502.99183333333</v>
      </c>
      <c r="G9" s="91" t="n">
        <f aca="false">(G$8*(1-DescuentoNeg)*(1-ComisionVenta*(1+TipoIVA))-Plusvalia)-($B9+IF(Regimen=1,TipoITP*MAX($B9,ValorReferencia),TipoIVA*$B9*(1-IVADeducible))+CostesFijosAdq+CosteTenenciaFlip)</f>
        <v>4418.50683333333</v>
      </c>
      <c r="H9" s="91" t="n">
        <f aca="false">(H$8*(1-DescuentoNeg)*(1-ComisionVenta*(1+TipoIVA))-Plusvalia)-($B9+IF(Regimen=1,TipoITP*MAX($B9,ValorReferencia),TipoIVA*$B9*(1-IVADeducible))+CostesFijosAdq+CosteTenenciaFlip)</f>
        <v>5334.02183333333</v>
      </c>
      <c r="I9" s="91" t="n">
        <f aca="false">(I$8*(1-DescuentoNeg)*(1-ComisionVenta*(1+TipoIVA))-Plusvalia)-($B9+IF(Regimen=1,TipoITP*MAX($B9,ValorReferencia),TipoIVA*$B9*(1-IVADeducible))+CostesFijosAdq+CosteTenenciaFlip)</f>
        <v>6249.53683333333</v>
      </c>
    </row>
    <row r="10" customFormat="false" ht="15" hidden="false" customHeight="false" outlineLevel="0" collapsed="false">
      <c r="B10" s="90" t="n">
        <v>4500</v>
      </c>
      <c r="C10" s="91" t="n">
        <f aca="false">(C$8*(1-DescuentoNeg)*(1-ComisionVenta*(1+TipoIVA))-Plusvalia)-($B10+IF(Regimen=1,TipoITP*MAX($B10,ValorReferencia),TipoIVA*$B10*(1-IVADeducible))+CostesFijosAdq+CosteTenenciaFlip)</f>
        <v>256.446833333333</v>
      </c>
      <c r="D10" s="91" t="n">
        <f aca="false">(D$8*(1-DescuentoNeg)*(1-ComisionVenta*(1+TipoIVA))-Plusvalia)-($B10+IF(Regimen=1,TipoITP*MAX($B10,ValorReferencia),TipoIVA*$B10*(1-IVADeducible))+CostesFijosAdq+CosteTenenciaFlip)</f>
        <v>1171.96183333333</v>
      </c>
      <c r="E10" s="91" t="n">
        <f aca="false">(E$8*(1-DescuentoNeg)*(1-ComisionVenta*(1+TipoIVA))-Plusvalia)-($B10+IF(Regimen=1,TipoITP*MAX($B10,ValorReferencia),TipoIVA*$B10*(1-IVADeducible))+CostesFijosAdq+CosteTenenciaFlip)</f>
        <v>2087.47683333333</v>
      </c>
      <c r="F10" s="91" t="n">
        <f aca="false">(F$8*(1-DescuentoNeg)*(1-ComisionVenta*(1+TipoIVA))-Plusvalia)-($B10+IF(Regimen=1,TipoITP*MAX($B10,ValorReferencia),TipoIVA*$B10*(1-IVADeducible))+CostesFijosAdq+CosteTenenciaFlip)</f>
        <v>3002.99183333333</v>
      </c>
      <c r="G10" s="91" t="n">
        <f aca="false">(G$8*(1-DescuentoNeg)*(1-ComisionVenta*(1+TipoIVA))-Plusvalia)-($B10+IF(Regimen=1,TipoITP*MAX($B10,ValorReferencia),TipoIVA*$B10*(1-IVADeducible))+CostesFijosAdq+CosteTenenciaFlip)</f>
        <v>3918.50683333333</v>
      </c>
      <c r="H10" s="91" t="n">
        <f aca="false">(H$8*(1-DescuentoNeg)*(1-ComisionVenta*(1+TipoIVA))-Plusvalia)-($B10+IF(Regimen=1,TipoITP*MAX($B10,ValorReferencia),TipoIVA*$B10*(1-IVADeducible))+CostesFijosAdq+CosteTenenciaFlip)</f>
        <v>4834.02183333333</v>
      </c>
      <c r="I10" s="91" t="n">
        <f aca="false">(I$8*(1-DescuentoNeg)*(1-ComisionVenta*(1+TipoIVA))-Plusvalia)-($B10+IF(Regimen=1,TipoITP*MAX($B10,ValorReferencia),TipoIVA*$B10*(1-IVADeducible))+CostesFijosAdq+CosteTenenciaFlip)</f>
        <v>5749.53683333333</v>
      </c>
    </row>
    <row r="11" customFormat="false" ht="15" hidden="false" customHeight="false" outlineLevel="0" collapsed="false">
      <c r="B11" s="90" t="n">
        <v>5000</v>
      </c>
      <c r="C11" s="91" t="n">
        <f aca="false">(C$8*(1-DescuentoNeg)*(1-ComisionVenta*(1+TipoIVA))-Plusvalia)-($B11+IF(Regimen=1,TipoITP*MAX($B11,ValorReferencia),TipoIVA*$B11*(1-IVADeducible))+CostesFijosAdq+CosteTenenciaFlip)</f>
        <v>-243.553166666668</v>
      </c>
      <c r="D11" s="91" t="n">
        <f aca="false">(D$8*(1-DescuentoNeg)*(1-ComisionVenta*(1+TipoIVA))-Plusvalia)-($B11+IF(Regimen=1,TipoITP*MAX($B11,ValorReferencia),TipoIVA*$B11*(1-IVADeducible))+CostesFijosAdq+CosteTenenciaFlip)</f>
        <v>671.961833333333</v>
      </c>
      <c r="E11" s="91" t="n">
        <f aca="false">(E$8*(1-DescuentoNeg)*(1-ComisionVenta*(1+TipoIVA))-Plusvalia)-($B11+IF(Regimen=1,TipoITP*MAX($B11,ValorReferencia),TipoIVA*$B11*(1-IVADeducible))+CostesFijosAdq+CosteTenenciaFlip)</f>
        <v>1587.47683333333</v>
      </c>
      <c r="F11" s="91" t="n">
        <f aca="false">(F$8*(1-DescuentoNeg)*(1-ComisionVenta*(1+TipoIVA))-Plusvalia)-($B11+IF(Regimen=1,TipoITP*MAX($B11,ValorReferencia),TipoIVA*$B11*(1-IVADeducible))+CostesFijosAdq+CosteTenenciaFlip)</f>
        <v>2502.99183333333</v>
      </c>
      <c r="G11" s="91" t="n">
        <f aca="false">(G$8*(1-DescuentoNeg)*(1-ComisionVenta*(1+TipoIVA))-Plusvalia)-($B11+IF(Regimen=1,TipoITP*MAX($B11,ValorReferencia),TipoIVA*$B11*(1-IVADeducible))+CostesFijosAdq+CosteTenenciaFlip)</f>
        <v>3418.50683333333</v>
      </c>
      <c r="H11" s="91" t="n">
        <f aca="false">(H$8*(1-DescuentoNeg)*(1-ComisionVenta*(1+TipoIVA))-Plusvalia)-($B11+IF(Regimen=1,TipoITP*MAX($B11,ValorReferencia),TipoIVA*$B11*(1-IVADeducible))+CostesFijosAdq+CosteTenenciaFlip)</f>
        <v>4334.02183333333</v>
      </c>
      <c r="I11" s="91" t="n">
        <f aca="false">(I$8*(1-DescuentoNeg)*(1-ComisionVenta*(1+TipoIVA))-Plusvalia)-($B11+IF(Regimen=1,TipoITP*MAX($B11,ValorReferencia),TipoIVA*$B11*(1-IVADeducible))+CostesFijosAdq+CosteTenenciaFlip)</f>
        <v>5249.53683333333</v>
      </c>
    </row>
    <row r="12" customFormat="false" ht="15" hidden="false" customHeight="false" outlineLevel="0" collapsed="false">
      <c r="B12" s="90" t="n">
        <v>5500</v>
      </c>
      <c r="C12" s="91" t="n">
        <f aca="false">(C$8*(1-DescuentoNeg)*(1-ComisionVenta*(1+TipoIVA))-Plusvalia)-($B12+IF(Regimen=1,TipoITP*MAX($B12,ValorReferencia),TipoIVA*$B12*(1-IVADeducible))+CostesFijosAdq+CosteTenenciaFlip)</f>
        <v>-743.553166666668</v>
      </c>
      <c r="D12" s="91" t="n">
        <f aca="false">(D$8*(1-DescuentoNeg)*(1-ComisionVenta*(1+TipoIVA))-Plusvalia)-($B12+IF(Regimen=1,TipoITP*MAX($B12,ValorReferencia),TipoIVA*$B12*(1-IVADeducible))+CostesFijosAdq+CosteTenenciaFlip)</f>
        <v>171.961833333333</v>
      </c>
      <c r="E12" s="91" t="n">
        <f aca="false">(E$8*(1-DescuentoNeg)*(1-ComisionVenta*(1+TipoIVA))-Plusvalia)-($B12+IF(Regimen=1,TipoITP*MAX($B12,ValorReferencia),TipoIVA*$B12*(1-IVADeducible))+CostesFijosAdq+CosteTenenciaFlip)</f>
        <v>1087.47683333333</v>
      </c>
      <c r="F12" s="91" t="n">
        <f aca="false">(F$8*(1-DescuentoNeg)*(1-ComisionVenta*(1+TipoIVA))-Plusvalia)-($B12+IF(Regimen=1,TipoITP*MAX($B12,ValorReferencia),TipoIVA*$B12*(1-IVADeducible))+CostesFijosAdq+CosteTenenciaFlip)</f>
        <v>2002.99183333333</v>
      </c>
      <c r="G12" s="91" t="n">
        <f aca="false">(G$8*(1-DescuentoNeg)*(1-ComisionVenta*(1+TipoIVA))-Plusvalia)-($B12+IF(Regimen=1,TipoITP*MAX($B12,ValorReferencia),TipoIVA*$B12*(1-IVADeducible))+CostesFijosAdq+CosteTenenciaFlip)</f>
        <v>2918.50683333333</v>
      </c>
      <c r="H12" s="91" t="n">
        <f aca="false">(H$8*(1-DescuentoNeg)*(1-ComisionVenta*(1+TipoIVA))-Plusvalia)-($B12+IF(Regimen=1,TipoITP*MAX($B12,ValorReferencia),TipoIVA*$B12*(1-IVADeducible))+CostesFijosAdq+CosteTenenciaFlip)</f>
        <v>3834.02183333333</v>
      </c>
      <c r="I12" s="91" t="n">
        <f aca="false">(I$8*(1-DescuentoNeg)*(1-ComisionVenta*(1+TipoIVA))-Plusvalia)-($B12+IF(Regimen=1,TipoITP*MAX($B12,ValorReferencia),TipoIVA*$B12*(1-IVADeducible))+CostesFijosAdq+CosteTenenciaFlip)</f>
        <v>4749.53683333333</v>
      </c>
    </row>
    <row r="13" customFormat="false" ht="15" hidden="false" customHeight="false" outlineLevel="0" collapsed="false">
      <c r="B13" s="90" t="n">
        <v>6000</v>
      </c>
      <c r="C13" s="91" t="n">
        <f aca="false">(C$8*(1-DescuentoNeg)*(1-ComisionVenta*(1+TipoIVA))-Plusvalia)-($B13+IF(Regimen=1,TipoITP*MAX($B13,ValorReferencia),TipoIVA*$B13*(1-IVADeducible))+CostesFijosAdq+CosteTenenciaFlip)</f>
        <v>-1243.55316666667</v>
      </c>
      <c r="D13" s="91" t="n">
        <f aca="false">(D$8*(1-DescuentoNeg)*(1-ComisionVenta*(1+TipoIVA))-Plusvalia)-($B13+IF(Regimen=1,TipoITP*MAX($B13,ValorReferencia),TipoIVA*$B13*(1-IVADeducible))+CostesFijosAdq+CosteTenenciaFlip)</f>
        <v>-328.038166666667</v>
      </c>
      <c r="E13" s="91" t="n">
        <f aca="false">(E$8*(1-DescuentoNeg)*(1-ComisionVenta*(1+TipoIVA))-Plusvalia)-($B13+IF(Regimen=1,TipoITP*MAX($B13,ValorReferencia),TipoIVA*$B13*(1-IVADeducible))+CostesFijosAdq+CosteTenenciaFlip)</f>
        <v>587.476833333333</v>
      </c>
      <c r="F13" s="91" t="n">
        <f aca="false">(F$8*(1-DescuentoNeg)*(1-ComisionVenta*(1+TipoIVA))-Plusvalia)-($B13+IF(Regimen=1,TipoITP*MAX($B13,ValorReferencia),TipoIVA*$B13*(1-IVADeducible))+CostesFijosAdq+CosteTenenciaFlip)</f>
        <v>1502.99183333333</v>
      </c>
      <c r="G13" s="91" t="n">
        <f aca="false">(G$8*(1-DescuentoNeg)*(1-ComisionVenta*(1+TipoIVA))-Plusvalia)-($B13+IF(Regimen=1,TipoITP*MAX($B13,ValorReferencia),TipoIVA*$B13*(1-IVADeducible))+CostesFijosAdq+CosteTenenciaFlip)</f>
        <v>2418.50683333333</v>
      </c>
      <c r="H13" s="91" t="n">
        <f aca="false">(H$8*(1-DescuentoNeg)*(1-ComisionVenta*(1+TipoIVA))-Plusvalia)-($B13+IF(Regimen=1,TipoITP*MAX($B13,ValorReferencia),TipoIVA*$B13*(1-IVADeducible))+CostesFijosAdq+CosteTenenciaFlip)</f>
        <v>3334.02183333333</v>
      </c>
      <c r="I13" s="91" t="n">
        <f aca="false">(I$8*(1-DescuentoNeg)*(1-ComisionVenta*(1+TipoIVA))-Plusvalia)-($B13+IF(Regimen=1,TipoITP*MAX($B13,ValorReferencia),TipoIVA*$B13*(1-IVADeducible))+CostesFijosAdq+CosteTenenciaFlip)</f>
        <v>4249.53683333333</v>
      </c>
    </row>
    <row r="14" customFormat="false" ht="15" hidden="false" customHeight="false" outlineLevel="0" collapsed="false">
      <c r="B14" s="90" t="n">
        <v>6500</v>
      </c>
      <c r="C14" s="91" t="n">
        <f aca="false">(C$8*(1-DescuentoNeg)*(1-ComisionVenta*(1+TipoIVA))-Plusvalia)-($B14+IF(Regimen=1,TipoITP*MAX($B14,ValorReferencia),TipoIVA*$B14*(1-IVADeducible))+CostesFijosAdq+CosteTenenciaFlip)</f>
        <v>-1743.55316666667</v>
      </c>
      <c r="D14" s="91" t="n">
        <f aca="false">(D$8*(1-DescuentoNeg)*(1-ComisionVenta*(1+TipoIVA))-Plusvalia)-($B14+IF(Regimen=1,TipoITP*MAX($B14,ValorReferencia),TipoIVA*$B14*(1-IVADeducible))+CostesFijosAdq+CosteTenenciaFlip)</f>
        <v>-828.038166666667</v>
      </c>
      <c r="E14" s="91" t="n">
        <f aca="false">(E$8*(1-DescuentoNeg)*(1-ComisionVenta*(1+TipoIVA))-Plusvalia)-($B14+IF(Regimen=1,TipoITP*MAX($B14,ValorReferencia),TipoIVA*$B14*(1-IVADeducible))+CostesFijosAdq+CosteTenenciaFlip)</f>
        <v>87.4768333333332</v>
      </c>
      <c r="F14" s="91" t="n">
        <f aca="false">(F$8*(1-DescuentoNeg)*(1-ComisionVenta*(1+TipoIVA))-Plusvalia)-($B14+IF(Regimen=1,TipoITP*MAX($B14,ValorReferencia),TipoIVA*$B14*(1-IVADeducible))+CostesFijosAdq+CosteTenenciaFlip)</f>
        <v>1002.99183333333</v>
      </c>
      <c r="G14" s="91" t="n">
        <f aca="false">(G$8*(1-DescuentoNeg)*(1-ComisionVenta*(1+TipoIVA))-Plusvalia)-($B14+IF(Regimen=1,TipoITP*MAX($B14,ValorReferencia),TipoIVA*$B14*(1-IVADeducible))+CostesFijosAdq+CosteTenenciaFlip)</f>
        <v>1918.50683333333</v>
      </c>
      <c r="H14" s="91" t="n">
        <f aca="false">(H$8*(1-DescuentoNeg)*(1-ComisionVenta*(1+TipoIVA))-Plusvalia)-($B14+IF(Regimen=1,TipoITP*MAX($B14,ValorReferencia),TipoIVA*$B14*(1-IVADeducible))+CostesFijosAdq+CosteTenenciaFlip)</f>
        <v>2834.02183333333</v>
      </c>
      <c r="I14" s="91" t="n">
        <f aca="false">(I$8*(1-DescuentoNeg)*(1-ComisionVenta*(1+TipoIVA))-Plusvalia)-($B14+IF(Regimen=1,TipoITP*MAX($B14,ValorReferencia),TipoIVA*$B14*(1-IVADeducible))+CostesFijosAdq+CosteTenenciaFlip)</f>
        <v>3749.53683333333</v>
      </c>
    </row>
    <row r="15" customFormat="false" ht="15" hidden="false" customHeight="false" outlineLevel="0" collapsed="false">
      <c r="B15" s="90" t="n">
        <v>7000</v>
      </c>
      <c r="C15" s="91" t="n">
        <f aca="false">(C$8*(1-DescuentoNeg)*(1-ComisionVenta*(1+TipoIVA))-Plusvalia)-($B15+IF(Regimen=1,TipoITP*MAX($B15,ValorReferencia),TipoIVA*$B15*(1-IVADeducible))+CostesFijosAdq+CosteTenenciaFlip)</f>
        <v>-2243.55316666667</v>
      </c>
      <c r="D15" s="91" t="n">
        <f aca="false">(D$8*(1-DescuentoNeg)*(1-ComisionVenta*(1+TipoIVA))-Plusvalia)-($B15+IF(Regimen=1,TipoITP*MAX($B15,ValorReferencia),TipoIVA*$B15*(1-IVADeducible))+CostesFijosAdq+CosteTenenciaFlip)</f>
        <v>-1328.03816666667</v>
      </c>
      <c r="E15" s="91" t="n">
        <f aca="false">(E$8*(1-DescuentoNeg)*(1-ComisionVenta*(1+TipoIVA))-Plusvalia)-($B15+IF(Regimen=1,TipoITP*MAX($B15,ValorReferencia),TipoIVA*$B15*(1-IVADeducible))+CostesFijosAdq+CosteTenenciaFlip)</f>
        <v>-412.523166666666</v>
      </c>
      <c r="F15" s="91" t="n">
        <f aca="false">(F$8*(1-DescuentoNeg)*(1-ComisionVenta*(1+TipoIVA))-Plusvalia)-($B15+IF(Regimen=1,TipoITP*MAX($B15,ValorReferencia),TipoIVA*$B15*(1-IVADeducible))+CostesFijosAdq+CosteTenenciaFlip)</f>
        <v>502.991833333334</v>
      </c>
      <c r="G15" s="91" t="n">
        <f aca="false">(G$8*(1-DescuentoNeg)*(1-ComisionVenta*(1+TipoIVA))-Plusvalia)-($B15+IF(Regimen=1,TipoITP*MAX($B15,ValorReferencia),TipoIVA*$B15*(1-IVADeducible))+CostesFijosAdq+CosteTenenciaFlip)</f>
        <v>1418.50683333333</v>
      </c>
      <c r="H15" s="91" t="n">
        <f aca="false">(H$8*(1-DescuentoNeg)*(1-ComisionVenta*(1+TipoIVA))-Plusvalia)-($B15+IF(Regimen=1,TipoITP*MAX($B15,ValorReferencia),TipoIVA*$B15*(1-IVADeducible))+CostesFijosAdq+CosteTenenciaFlip)</f>
        <v>2334.02183333333</v>
      </c>
      <c r="I15" s="91" t="n">
        <f aca="false">(I$8*(1-DescuentoNeg)*(1-ComisionVenta*(1+TipoIVA))-Plusvalia)-($B15+IF(Regimen=1,TipoITP*MAX($B15,ValorReferencia),TipoIVA*$B15*(1-IVADeducible))+CostesFijosAdq+CosteTenenciaFlip)</f>
        <v>3249.53683333333</v>
      </c>
    </row>
    <row r="16" customFormat="false" ht="15" hidden="false" customHeight="false" outlineLevel="0" collapsed="false">
      <c r="B16" s="90" t="n">
        <v>7500</v>
      </c>
      <c r="C16" s="91" t="n">
        <f aca="false">(C$8*(1-DescuentoNeg)*(1-ComisionVenta*(1+TipoIVA))-Plusvalia)-($B16+IF(Regimen=1,TipoITP*MAX($B16,ValorReferencia),TipoIVA*$B16*(1-IVADeducible))+CostesFijosAdq+CosteTenenciaFlip)</f>
        <v>-2773.06166666667</v>
      </c>
      <c r="D16" s="91" t="n">
        <f aca="false">(D$8*(1-DescuentoNeg)*(1-ComisionVenta*(1+TipoIVA))-Plusvalia)-($B16+IF(Regimen=1,TipoITP*MAX($B16,ValorReferencia),TipoIVA*$B16*(1-IVADeducible))+CostesFijosAdq+CosteTenenciaFlip)</f>
        <v>-1857.54666666667</v>
      </c>
      <c r="E16" s="91" t="n">
        <f aca="false">(E$8*(1-DescuentoNeg)*(1-ComisionVenta*(1+TipoIVA))-Plusvalia)-($B16+IF(Regimen=1,TipoITP*MAX($B16,ValorReferencia),TipoIVA*$B16*(1-IVADeducible))+CostesFijosAdq+CosteTenenciaFlip)</f>
        <v>-942.031666666666</v>
      </c>
      <c r="F16" s="91" t="n">
        <f aca="false">(F$8*(1-DescuentoNeg)*(1-ComisionVenta*(1+TipoIVA))-Plusvalia)-($B16+IF(Regimen=1,TipoITP*MAX($B16,ValorReferencia),TipoIVA*$B16*(1-IVADeducible))+CostesFijosAdq+CosteTenenciaFlip)</f>
        <v>-26.5166666666664</v>
      </c>
      <c r="G16" s="91" t="n">
        <f aca="false">(G$8*(1-DescuentoNeg)*(1-ComisionVenta*(1+TipoIVA))-Plusvalia)-($B16+IF(Regimen=1,TipoITP*MAX($B16,ValorReferencia),TipoIVA*$B16*(1-IVADeducible))+CostesFijosAdq+CosteTenenciaFlip)</f>
        <v>888.998333333335</v>
      </c>
      <c r="H16" s="91" t="n">
        <f aca="false">(H$8*(1-DescuentoNeg)*(1-ComisionVenta*(1+TipoIVA))-Plusvalia)-($B16+IF(Regimen=1,TipoITP*MAX($B16,ValorReferencia),TipoIVA*$B16*(1-IVADeducible))+CostesFijosAdq+CosteTenenciaFlip)</f>
        <v>1804.51333333333</v>
      </c>
      <c r="I16" s="91" t="n">
        <f aca="false">(I$8*(1-DescuentoNeg)*(1-ComisionVenta*(1+TipoIVA))-Plusvalia)-($B16+IF(Regimen=1,TipoITP*MAX($B16,ValorReferencia),TipoIVA*$B16*(1-IVADeducible))+CostesFijosAdq+CosteTenenciaFlip)</f>
        <v>2720.02833333333</v>
      </c>
    </row>
    <row r="17" customFormat="false" ht="15" hidden="false" customHeight="false" outlineLevel="0" collapsed="false">
      <c r="B17" s="90" t="n">
        <v>8000</v>
      </c>
      <c r="C17" s="91" t="n">
        <f aca="false">(C$8*(1-DescuentoNeg)*(1-ComisionVenta*(1+TipoIVA))-Plusvalia)-($B17+IF(Regimen=1,TipoITP*MAX($B17,ValorReferencia),TipoIVA*$B17*(1-IVADeducible))+CostesFijosAdq+CosteTenenciaFlip)</f>
        <v>-3308.06166666667</v>
      </c>
      <c r="D17" s="91" t="n">
        <f aca="false">(D$8*(1-DescuentoNeg)*(1-ComisionVenta*(1+TipoIVA))-Plusvalia)-($B17+IF(Regimen=1,TipoITP*MAX($B17,ValorReferencia),TipoIVA*$B17*(1-IVADeducible))+CostesFijosAdq+CosteTenenciaFlip)</f>
        <v>-2392.54666666667</v>
      </c>
      <c r="E17" s="91" t="n">
        <f aca="false">(E$8*(1-DescuentoNeg)*(1-ComisionVenta*(1+TipoIVA))-Plusvalia)-($B17+IF(Regimen=1,TipoITP*MAX($B17,ValorReferencia),TipoIVA*$B17*(1-IVADeducible))+CostesFijosAdq+CosteTenenciaFlip)</f>
        <v>-1477.03166666667</v>
      </c>
      <c r="F17" s="91" t="n">
        <f aca="false">(F$8*(1-DescuentoNeg)*(1-ComisionVenta*(1+TipoIVA))-Plusvalia)-($B17+IF(Regimen=1,TipoITP*MAX($B17,ValorReferencia),TipoIVA*$B17*(1-IVADeducible))+CostesFijosAdq+CosteTenenciaFlip)</f>
        <v>-561.516666666666</v>
      </c>
      <c r="G17" s="91" t="n">
        <f aca="false">(G$8*(1-DescuentoNeg)*(1-ComisionVenta*(1+TipoIVA))-Plusvalia)-($B17+IF(Regimen=1,TipoITP*MAX($B17,ValorReferencia),TipoIVA*$B17*(1-IVADeducible))+CostesFijosAdq+CosteTenenciaFlip)</f>
        <v>353.998333333335</v>
      </c>
      <c r="H17" s="91" t="n">
        <f aca="false">(H$8*(1-DescuentoNeg)*(1-ComisionVenta*(1+TipoIVA))-Plusvalia)-($B17+IF(Regimen=1,TipoITP*MAX($B17,ValorReferencia),TipoIVA*$B17*(1-IVADeducible))+CostesFijosAdq+CosteTenenciaFlip)</f>
        <v>1269.51333333333</v>
      </c>
      <c r="I17" s="91" t="n">
        <f aca="false">(I$8*(1-DescuentoNeg)*(1-ComisionVenta*(1+TipoIVA))-Plusvalia)-($B17+IF(Regimen=1,TipoITP*MAX($B17,ValorReferencia),TipoIVA*$B17*(1-IVADeducible))+CostesFijosAdq+CosteTenenciaFlip)</f>
        <v>2185.02833333333</v>
      </c>
    </row>
    <row r="20" customFormat="false" ht="15" hidden="false" customHeight="false" outlineLevel="0" collapsed="false">
      <c r="B20" s="6" t="s">
        <v>627</v>
      </c>
      <c r="C20" s="7"/>
      <c r="D20" s="7"/>
      <c r="E20" s="7"/>
      <c r="F20" s="7"/>
      <c r="G20" s="7"/>
      <c r="H20" s="7"/>
      <c r="I20" s="7"/>
    </row>
    <row r="21" customFormat="false" ht="15" hidden="false" customHeight="false" outlineLevel="0" collapsed="false">
      <c r="B21" s="24" t="s">
        <v>626</v>
      </c>
      <c r="C21" s="90" t="n">
        <v>7000</v>
      </c>
      <c r="D21" s="90" t="n">
        <v>8000</v>
      </c>
      <c r="E21" s="90" t="n">
        <v>9000</v>
      </c>
      <c r="F21" s="90" t="n">
        <v>10000</v>
      </c>
      <c r="G21" s="90" t="n">
        <v>11000</v>
      </c>
      <c r="H21" s="90" t="n">
        <v>12000</v>
      </c>
      <c r="I21" s="90" t="n">
        <v>13000</v>
      </c>
    </row>
    <row r="22" customFormat="false" ht="15" hidden="false" customHeight="false" outlineLevel="0" collapsed="false">
      <c r="B22" s="90" t="n">
        <v>4000</v>
      </c>
      <c r="C22" s="92" t="n">
        <f aca="false">((C$21*(1-DescuentoNeg)*(1-ComisionVenta*(1+TipoIVA))-Plusvalia)-($B22+IF(Regimen=1,TipoITP*MAX($B22,ValorReferencia),TipoIVA*$B22*(1-IVADeducible))+CostesFijosAdq+CosteTenenciaFlip))/($B22+IF(Regimen=1,TipoITP*MAX($B22,ValorReferencia),TipoIVA*$B22*(1-IVADeducible))+CostesFijosAdq+CosteTenenciaFlip)</f>
        <v>0.135511537070086</v>
      </c>
      <c r="D22" s="92" t="n">
        <f aca="false">((D$21*(1-DescuentoNeg)*(1-ComisionVenta*(1+TipoIVA))-Plusvalia)-($B22+IF(Regimen=1,TipoITP*MAX($B22,ValorReferencia),TipoIVA*$B22*(1-IVADeducible))+CostesFijosAdq+CosteTenenciaFlip))/($B22+IF(Regimen=1,TipoITP*MAX($B22,ValorReferencia),TipoIVA*$B22*(1-IVADeducible))+CostesFijosAdq+CosteTenenciaFlip)</f>
        <v>0.299518892767549</v>
      </c>
      <c r="E22" s="92" t="n">
        <f aca="false">((E$21*(1-DescuentoNeg)*(1-ComisionVenta*(1+TipoIVA))-Plusvalia)-($B22+IF(Regimen=1,TipoITP*MAX($B22,ValorReferencia),TipoIVA*$B22*(1-IVADeducible))+CostesFijosAdq+CosteTenenciaFlip))/($B22+IF(Regimen=1,TipoITP*MAX($B22,ValorReferencia),TipoIVA*$B22*(1-IVADeducible))+CostesFijosAdq+CosteTenenciaFlip)</f>
        <v>0.463526248465013</v>
      </c>
      <c r="F22" s="92" t="n">
        <f aca="false">((F$21*(1-DescuentoNeg)*(1-ComisionVenta*(1+TipoIVA))-Plusvalia)-($B22+IF(Regimen=1,TipoITP*MAX($B22,ValorReferencia),TipoIVA*$B22*(1-IVADeducible))+CostesFijosAdq+CosteTenenciaFlip))/($B22+IF(Regimen=1,TipoITP*MAX($B22,ValorReferencia),TipoIVA*$B22*(1-IVADeducible))+CostesFijosAdq+CosteTenenciaFlip)</f>
        <v>0.627533604162476</v>
      </c>
      <c r="G22" s="92" t="n">
        <f aca="false">((G$21*(1-DescuentoNeg)*(1-ComisionVenta*(1+TipoIVA))-Plusvalia)-($B22+IF(Regimen=1,TipoITP*MAX($B22,ValorReferencia),TipoIVA*$B22*(1-IVADeducible))+CostesFijosAdq+CosteTenenciaFlip))/($B22+IF(Regimen=1,TipoITP*MAX($B22,ValorReferencia),TipoIVA*$B22*(1-IVADeducible))+CostesFijosAdq+CosteTenenciaFlip)</f>
        <v>0.79154095985994</v>
      </c>
      <c r="H22" s="92" t="n">
        <f aca="false">((H$21*(1-DescuentoNeg)*(1-ComisionVenta*(1+TipoIVA))-Plusvalia)-($B22+IF(Regimen=1,TipoITP*MAX($B22,ValorReferencia),TipoIVA*$B22*(1-IVADeducible))+CostesFijosAdq+CosteTenenciaFlip))/($B22+IF(Regimen=1,TipoITP*MAX($B22,ValorReferencia),TipoIVA*$B22*(1-IVADeducible))+CostesFijosAdq+CosteTenenciaFlip)</f>
        <v>0.955548315557403</v>
      </c>
      <c r="I22" s="92" t="n">
        <f aca="false">((I$21*(1-DescuentoNeg)*(1-ComisionVenta*(1+TipoIVA))-Plusvalia)-($B22+IF(Regimen=1,TipoITP*MAX($B22,ValorReferencia),TipoIVA*$B22*(1-IVADeducible))+CostesFijosAdq+CosteTenenciaFlip))/($B22+IF(Regimen=1,TipoITP*MAX($B22,ValorReferencia),TipoIVA*$B22*(1-IVADeducible))+CostesFijosAdq+CosteTenenciaFlip)</f>
        <v>1.11955567125487</v>
      </c>
    </row>
    <row r="23" customFormat="false" ht="15" hidden="false" customHeight="false" outlineLevel="0" collapsed="false">
      <c r="B23" s="90" t="n">
        <v>4500</v>
      </c>
      <c r="C23" s="92" t="n">
        <f aca="false">((C$21*(1-DescuentoNeg)*(1-ComisionVenta*(1+TipoIVA))-Plusvalia)-($B23+IF(Regimen=1,TipoITP*MAX($B23,ValorReferencia),TipoIVA*$B23*(1-IVADeducible))+CostesFijosAdq+CosteTenenciaFlip))/($B23+IF(Regimen=1,TipoITP*MAX($B23,ValorReferencia),TipoIVA*$B23*(1-IVADeducible))+CostesFijosAdq+CosteTenenciaFlip)</f>
        <v>0.0421637889555047</v>
      </c>
      <c r="D23" s="92" t="n">
        <f aca="false">((D$21*(1-DescuentoNeg)*(1-ComisionVenta*(1+TipoIVA))-Plusvalia)-($B23+IF(Regimen=1,TipoITP*MAX($B23,ValorReferencia),TipoIVA*$B23*(1-IVADeducible))+CostesFijosAdq+CosteTenenciaFlip))/($B23+IF(Regimen=1,TipoITP*MAX($B23,ValorReferencia),TipoIVA*$B23*(1-IVADeducible))+CostesFijosAdq+CosteTenenciaFlip)</f>
        <v>0.192688483465669</v>
      </c>
      <c r="E23" s="92" t="n">
        <f aca="false">((E$21*(1-DescuentoNeg)*(1-ComisionVenta*(1+TipoIVA))-Plusvalia)-($B23+IF(Regimen=1,TipoITP*MAX($B23,ValorReferencia),TipoIVA*$B23*(1-IVADeducible))+CostesFijosAdq+CosteTenenciaFlip))/($B23+IF(Regimen=1,TipoITP*MAX($B23,ValorReferencia),TipoIVA*$B23*(1-IVADeducible))+CostesFijosAdq+CosteTenenciaFlip)</f>
        <v>0.343213177975833</v>
      </c>
      <c r="F23" s="92" t="n">
        <f aca="false">((F$21*(1-DescuentoNeg)*(1-ComisionVenta*(1+TipoIVA))-Plusvalia)-($B23+IF(Regimen=1,TipoITP*MAX($B23,ValorReferencia),TipoIVA*$B23*(1-IVADeducible))+CostesFijosAdq+CosteTenenciaFlip))/($B23+IF(Regimen=1,TipoITP*MAX($B23,ValorReferencia),TipoIVA*$B23*(1-IVADeducible))+CostesFijosAdq+CosteTenenciaFlip)</f>
        <v>0.493737872485997</v>
      </c>
      <c r="G23" s="92" t="n">
        <f aca="false">((G$21*(1-DescuentoNeg)*(1-ComisionVenta*(1+TipoIVA))-Plusvalia)-($B23+IF(Regimen=1,TipoITP*MAX($B23,ValorReferencia),TipoIVA*$B23*(1-IVADeducible))+CostesFijosAdq+CosteTenenciaFlip))/($B23+IF(Regimen=1,TipoITP*MAX($B23,ValorReferencia),TipoIVA*$B23*(1-IVADeducible))+CostesFijosAdq+CosteTenenciaFlip)</f>
        <v>0.644262566996161</v>
      </c>
      <c r="H23" s="92" t="n">
        <f aca="false">((H$21*(1-DescuentoNeg)*(1-ComisionVenta*(1+TipoIVA))-Plusvalia)-($B23+IF(Regimen=1,TipoITP*MAX($B23,ValorReferencia),TipoIVA*$B23*(1-IVADeducible))+CostesFijosAdq+CosteTenenciaFlip))/($B23+IF(Regimen=1,TipoITP*MAX($B23,ValorReferencia),TipoIVA*$B23*(1-IVADeducible))+CostesFijosAdq+CosteTenenciaFlip)</f>
        <v>0.794787261506325</v>
      </c>
      <c r="I23" s="92" t="n">
        <f aca="false">((I$21*(1-DescuentoNeg)*(1-ComisionVenta*(1+TipoIVA))-Plusvalia)-($B23+IF(Regimen=1,TipoITP*MAX($B23,ValorReferencia),TipoIVA*$B23*(1-IVADeducible))+CostesFijosAdq+CosteTenenciaFlip))/($B23+IF(Regimen=1,TipoITP*MAX($B23,ValorReferencia),TipoIVA*$B23*(1-IVADeducible))+CostesFijosAdq+CosteTenenciaFlip)</f>
        <v>0.945311956016489</v>
      </c>
    </row>
    <row r="24" customFormat="false" ht="15" hidden="false" customHeight="false" outlineLevel="0" collapsed="false">
      <c r="B24" s="90" t="n">
        <v>5000</v>
      </c>
      <c r="C24" s="92" t="n">
        <f aca="false">((C$21*(1-DescuentoNeg)*(1-ComisionVenta*(1+TipoIVA))-Plusvalia)-($B24+IF(Regimen=1,TipoITP*MAX($B24,ValorReferencia),TipoIVA*$B24*(1-IVADeducible))+CostesFijosAdq+CosteTenenciaFlip))/($B24+IF(Regimen=1,TipoITP*MAX($B24,ValorReferencia),TipoIVA*$B24*(1-IVADeducible))+CostesFijosAdq+CosteTenenciaFlip)</f>
        <v>-0.0370020228167819</v>
      </c>
      <c r="D24" s="92" t="n">
        <f aca="false">((D$21*(1-DescuentoNeg)*(1-ComisionVenta*(1+TipoIVA))-Plusvalia)-($B24+IF(Regimen=1,TipoITP*MAX($B24,ValorReferencia),TipoIVA*$B24*(1-IVADeducible))+CostesFijosAdq+CosteTenenciaFlip))/($B24+IF(Regimen=1,TipoITP*MAX($B24,ValorReferencia),TipoIVA*$B24*(1-IVADeducible))+CostesFijosAdq+CosteTenenciaFlip)</f>
        <v>0.102088375319858</v>
      </c>
      <c r="E24" s="92" t="n">
        <f aca="false">((E$21*(1-DescuentoNeg)*(1-ComisionVenta*(1+TipoIVA))-Plusvalia)-($B24+IF(Regimen=1,TipoITP*MAX($B24,ValorReferencia),TipoIVA*$B24*(1-IVADeducible))+CostesFijosAdq+CosteTenenciaFlip))/($B24+IF(Regimen=1,TipoITP*MAX($B24,ValorReferencia),TipoIVA*$B24*(1-IVADeducible))+CostesFijosAdq+CosteTenenciaFlip)</f>
        <v>0.241178773456497</v>
      </c>
      <c r="F24" s="92" t="n">
        <f aca="false">((F$21*(1-DescuentoNeg)*(1-ComisionVenta*(1+TipoIVA))-Plusvalia)-($B24+IF(Regimen=1,TipoITP*MAX($B24,ValorReferencia),TipoIVA*$B24*(1-IVADeducible))+CostesFijosAdq+CosteTenenciaFlip))/($B24+IF(Regimen=1,TipoITP*MAX($B24,ValorReferencia),TipoIVA*$B24*(1-IVADeducible))+CostesFijosAdq+CosteTenenciaFlip)</f>
        <v>0.380269171593137</v>
      </c>
      <c r="G24" s="92" t="n">
        <f aca="false">((G$21*(1-DescuentoNeg)*(1-ComisionVenta*(1+TipoIVA))-Plusvalia)-($B24+IF(Regimen=1,TipoITP*MAX($B24,ValorReferencia),TipoIVA*$B24*(1-IVADeducible))+CostesFijosAdq+CosteTenenciaFlip))/($B24+IF(Regimen=1,TipoITP*MAX($B24,ValorReferencia),TipoIVA*$B24*(1-IVADeducible))+CostesFijosAdq+CosteTenenciaFlip)</f>
        <v>0.519359569729776</v>
      </c>
      <c r="H24" s="92" t="n">
        <f aca="false">((H$21*(1-DescuentoNeg)*(1-ComisionVenta*(1+TipoIVA))-Plusvalia)-($B24+IF(Regimen=1,TipoITP*MAX($B24,ValorReferencia),TipoIVA*$B24*(1-IVADeducible))+CostesFijosAdq+CosteTenenciaFlip))/($B24+IF(Regimen=1,TipoITP*MAX($B24,ValorReferencia),TipoIVA*$B24*(1-IVADeducible))+CostesFijosAdq+CosteTenenciaFlip)</f>
        <v>0.658449967866416</v>
      </c>
      <c r="I24" s="92" t="n">
        <f aca="false">((I$21*(1-DescuentoNeg)*(1-ComisionVenta*(1+TipoIVA))-Plusvalia)-($B24+IF(Regimen=1,TipoITP*MAX($B24,ValorReferencia),TipoIVA*$B24*(1-IVADeducible))+CostesFijosAdq+CosteTenenciaFlip))/($B24+IF(Regimen=1,TipoITP*MAX($B24,ValorReferencia),TipoIVA*$B24*(1-IVADeducible))+CostesFijosAdq+CosteTenenciaFlip)</f>
        <v>0.797540366003055</v>
      </c>
    </row>
    <row r="25" customFormat="false" ht="15" hidden="false" customHeight="false" outlineLevel="0" collapsed="false">
      <c r="B25" s="90" t="n">
        <v>5500</v>
      </c>
      <c r="C25" s="92" t="n">
        <f aca="false">((C$21*(1-DescuentoNeg)*(1-ComisionVenta*(1+TipoIVA))-Plusvalia)-($B25+IF(Regimen=1,TipoITP*MAX($B25,ValorReferencia),TipoIVA*$B25*(1-IVADeducible))+CostesFijosAdq+CosteTenenciaFlip))/($B25+IF(Regimen=1,TipoITP*MAX($B25,ValorReferencia),TipoIVA*$B25*(1-IVADeducible))+CostesFijosAdq+CosteTenenciaFlip)</f>
        <v>-0.104989630161936</v>
      </c>
      <c r="D25" s="92" t="n">
        <f aca="false">((D$21*(1-DescuentoNeg)*(1-ComisionVenta*(1+TipoIVA))-Plusvalia)-($B25+IF(Regimen=1,TipoITP*MAX($B25,ValorReferencia),TipoIVA*$B25*(1-IVADeducible))+CostesFijosAdq+CosteTenenciaFlip))/($B25+IF(Regimen=1,TipoITP*MAX($B25,ValorReferencia),TipoIVA*$B25*(1-IVADeducible))+CostesFijosAdq+CosteTenenciaFlip)</f>
        <v>0.0242809930654612</v>
      </c>
      <c r="E25" s="92" t="n">
        <f aca="false">((E$21*(1-DescuentoNeg)*(1-ComisionVenta*(1+TipoIVA))-Plusvalia)-($B25+IF(Regimen=1,TipoITP*MAX($B25,ValorReferencia),TipoIVA*$B25*(1-IVADeducible))+CostesFijosAdq+CosteTenenciaFlip))/($B25+IF(Regimen=1,TipoITP*MAX($B25,ValorReferencia),TipoIVA*$B25*(1-IVADeducible))+CostesFijosAdq+CosteTenenciaFlip)</f>
        <v>0.153551616292858</v>
      </c>
      <c r="F25" s="92" t="n">
        <f aca="false">((F$21*(1-DescuentoNeg)*(1-ComisionVenta*(1+TipoIVA))-Plusvalia)-($B25+IF(Regimen=1,TipoITP*MAX($B25,ValorReferencia),TipoIVA*$B25*(1-IVADeducible))+CostesFijosAdq+CosteTenenciaFlip))/($B25+IF(Regimen=1,TipoITP*MAX($B25,ValorReferencia),TipoIVA*$B25*(1-IVADeducible))+CostesFijosAdq+CosteTenenciaFlip)</f>
        <v>0.282822239520255</v>
      </c>
      <c r="G25" s="92" t="n">
        <f aca="false">((G$21*(1-DescuentoNeg)*(1-ComisionVenta*(1+TipoIVA))-Plusvalia)-($B25+IF(Regimen=1,TipoITP*MAX($B25,ValorReferencia),TipoIVA*$B25*(1-IVADeducible))+CostesFijosAdq+CosteTenenciaFlip))/($B25+IF(Regimen=1,TipoITP*MAX($B25,ValorReferencia),TipoIVA*$B25*(1-IVADeducible))+CostesFijosAdq+CosteTenenciaFlip)</f>
        <v>0.412092862747653</v>
      </c>
      <c r="H25" s="92" t="n">
        <f aca="false">((H$21*(1-DescuentoNeg)*(1-ComisionVenta*(1+TipoIVA))-Plusvalia)-($B25+IF(Regimen=1,TipoITP*MAX($B25,ValorReferencia),TipoIVA*$B25*(1-IVADeducible))+CostesFijosAdq+CosteTenenciaFlip))/($B25+IF(Regimen=1,TipoITP*MAX($B25,ValorReferencia),TipoIVA*$B25*(1-IVADeducible))+CostesFijosAdq+CosteTenenciaFlip)</f>
        <v>0.54136348597505</v>
      </c>
      <c r="I25" s="92" t="n">
        <f aca="false">((I$21*(1-DescuentoNeg)*(1-ComisionVenta*(1+TipoIVA))-Plusvalia)-($B25+IF(Regimen=1,TipoITP*MAX($B25,ValorReferencia),TipoIVA*$B25*(1-IVADeducible))+CostesFijosAdq+CosteTenenciaFlip))/($B25+IF(Regimen=1,TipoITP*MAX($B25,ValorReferencia),TipoIVA*$B25*(1-IVADeducible))+CostesFijosAdq+CosteTenenciaFlip)</f>
        <v>0.670634109202447</v>
      </c>
    </row>
    <row r="26" customFormat="false" ht="15" hidden="false" customHeight="false" outlineLevel="0" collapsed="false">
      <c r="B26" s="90" t="n">
        <v>6000</v>
      </c>
      <c r="C26" s="92" t="n">
        <f aca="false">((C$21*(1-DescuentoNeg)*(1-ComisionVenta*(1+TipoIVA))-Plusvalia)-($B26+IF(Regimen=1,TipoITP*MAX($B26,ValorReferencia),TipoIVA*$B26*(1-IVADeducible))+CostesFijosAdq+CosteTenenciaFlip))/($B26+IF(Regimen=1,TipoITP*MAX($B26,ValorReferencia),TipoIVA*$B26*(1-IVADeducible))+CostesFijosAdq+CosteTenenciaFlip)</f>
        <v>-0.164010449179718</v>
      </c>
      <c r="D26" s="92" t="n">
        <f aca="false">((D$21*(1-DescuentoNeg)*(1-ComisionVenta*(1+TipoIVA))-Plusvalia)-($B26+IF(Regimen=1,TipoITP*MAX($B26,ValorReferencia),TipoIVA*$B26*(1-IVADeducible))+CostesFijosAdq+CosteTenenciaFlip))/($B26+IF(Regimen=1,TipoITP*MAX($B26,ValorReferencia),TipoIVA*$B26*(1-IVADeducible))+CostesFijosAdq+CosteTenenciaFlip)</f>
        <v>-0.0432644847886208</v>
      </c>
      <c r="E26" s="92" t="n">
        <f aca="false">((E$21*(1-DescuentoNeg)*(1-ComisionVenta*(1+TipoIVA))-Plusvalia)-($B26+IF(Regimen=1,TipoITP*MAX($B26,ValorReferencia),TipoIVA*$B26*(1-IVADeducible))+CostesFijosAdq+CosteTenenciaFlip))/($B26+IF(Regimen=1,TipoITP*MAX($B26,ValorReferencia),TipoIVA*$B26*(1-IVADeducible))+CostesFijosAdq+CosteTenenciaFlip)</f>
        <v>0.0774814796024764</v>
      </c>
      <c r="F26" s="92" t="n">
        <f aca="false">((F$21*(1-DescuentoNeg)*(1-ComisionVenta*(1+TipoIVA))-Plusvalia)-($B26+IF(Regimen=1,TipoITP*MAX($B26,ValorReferencia),TipoIVA*$B26*(1-IVADeducible))+CostesFijosAdq+CosteTenenciaFlip))/($B26+IF(Regimen=1,TipoITP*MAX($B26,ValorReferencia),TipoIVA*$B26*(1-IVADeducible))+CostesFijosAdq+CosteTenenciaFlip)</f>
        <v>0.198227443993573</v>
      </c>
      <c r="G26" s="92" t="n">
        <f aca="false">((G$21*(1-DescuentoNeg)*(1-ComisionVenta*(1+TipoIVA))-Plusvalia)-($B26+IF(Regimen=1,TipoITP*MAX($B26,ValorReferencia),TipoIVA*$B26*(1-IVADeducible))+CostesFijosAdq+CosteTenenciaFlip))/($B26+IF(Regimen=1,TipoITP*MAX($B26,ValorReferencia),TipoIVA*$B26*(1-IVADeducible))+CostesFijosAdq+CosteTenenciaFlip)</f>
        <v>0.318973408384671</v>
      </c>
      <c r="H26" s="92" t="n">
        <f aca="false">((H$21*(1-DescuentoNeg)*(1-ComisionVenta*(1+TipoIVA))-Plusvalia)-($B26+IF(Regimen=1,TipoITP*MAX($B26,ValorReferencia),TipoIVA*$B26*(1-IVADeducible))+CostesFijosAdq+CosteTenenciaFlip))/($B26+IF(Regimen=1,TipoITP*MAX($B26,ValorReferencia),TipoIVA*$B26*(1-IVADeducible))+CostesFijosAdq+CosteTenenciaFlip)</f>
        <v>0.439719372775768</v>
      </c>
      <c r="I26" s="92" t="n">
        <f aca="false">((I$21*(1-DescuentoNeg)*(1-ComisionVenta*(1+TipoIVA))-Plusvalia)-($B26+IF(Regimen=1,TipoITP*MAX($B26,ValorReferencia),TipoIVA*$B26*(1-IVADeducible))+CostesFijosAdq+CosteTenenciaFlip))/($B26+IF(Regimen=1,TipoITP*MAX($B26,ValorReferencia),TipoIVA*$B26*(1-IVADeducible))+CostesFijosAdq+CosteTenenciaFlip)</f>
        <v>0.560465337166865</v>
      </c>
    </row>
    <row r="27" customFormat="false" ht="15" hidden="false" customHeight="false" outlineLevel="0" collapsed="false">
      <c r="B27" s="90" t="n">
        <v>6500</v>
      </c>
      <c r="C27" s="92" t="n">
        <f aca="false">((C$21*(1-DescuentoNeg)*(1-ComisionVenta*(1+TipoIVA))-Plusvalia)-($B27+IF(Regimen=1,TipoITP*MAX($B27,ValorReferencia),TipoIVA*$B27*(1-IVADeducible))+CostesFijosAdq+CosteTenenciaFlip))/($B27+IF(Regimen=1,TipoITP*MAX($B27,ValorReferencia),TipoIVA*$B27*(1-IVADeducible))+CostesFijosAdq+CosteTenenciaFlip)</f>
        <v>-0.215728661913302</v>
      </c>
      <c r="D27" s="92" t="n">
        <f aca="false">((D$21*(1-DescuentoNeg)*(1-ComisionVenta*(1+TipoIVA))-Plusvalia)-($B27+IF(Regimen=1,TipoITP*MAX($B27,ValorReferencia),TipoIVA*$B27*(1-IVADeducible))+CostesFijosAdq+CosteTenenciaFlip))/($B27+IF(Regimen=1,TipoITP*MAX($B27,ValorReferencia),TipoIVA*$B27*(1-IVADeducible))+CostesFijosAdq+CosteTenenciaFlip)</f>
        <v>-0.102452606047943</v>
      </c>
      <c r="E27" s="92" t="n">
        <f aca="false">((E$21*(1-DescuentoNeg)*(1-ComisionVenta*(1+TipoIVA))-Plusvalia)-($B27+IF(Regimen=1,TipoITP*MAX($B27,ValorReferencia),TipoIVA*$B27*(1-IVADeducible))+CostesFijosAdq+CosteTenenciaFlip))/($B27+IF(Regimen=1,TipoITP*MAX($B27,ValorReferencia),TipoIVA*$B27*(1-IVADeducible))+CostesFijosAdq+CosteTenenciaFlip)</f>
        <v>0.0108234498174157</v>
      </c>
      <c r="F27" s="92" t="n">
        <f aca="false">((F$21*(1-DescuentoNeg)*(1-ComisionVenta*(1+TipoIVA))-Plusvalia)-($B27+IF(Regimen=1,TipoITP*MAX($B27,ValorReferencia),TipoIVA*$B27*(1-IVADeducible))+CostesFijosAdq+CosteTenenciaFlip))/($B27+IF(Regimen=1,TipoITP*MAX($B27,ValorReferencia),TipoIVA*$B27*(1-IVADeducible))+CostesFijosAdq+CosteTenenciaFlip)</f>
        <v>0.124099505682775</v>
      </c>
      <c r="G27" s="92" t="n">
        <f aca="false">((G$21*(1-DescuentoNeg)*(1-ComisionVenta*(1+TipoIVA))-Plusvalia)-($B27+IF(Regimen=1,TipoITP*MAX($B27,ValorReferencia),TipoIVA*$B27*(1-IVADeducible))+CostesFijosAdq+CosteTenenciaFlip))/($B27+IF(Regimen=1,TipoITP*MAX($B27,ValorReferencia),TipoIVA*$B27*(1-IVADeducible))+CostesFijosAdq+CosteTenenciaFlip)</f>
        <v>0.237375561548134</v>
      </c>
      <c r="H27" s="92" t="n">
        <f aca="false">((H$21*(1-DescuentoNeg)*(1-ComisionVenta*(1+TipoIVA))-Plusvalia)-($B27+IF(Regimen=1,TipoITP*MAX($B27,ValorReferencia),TipoIVA*$B27*(1-IVADeducible))+CostesFijosAdq+CosteTenenciaFlip))/($B27+IF(Regimen=1,TipoITP*MAX($B27,ValorReferencia),TipoIVA*$B27*(1-IVADeducible))+CostesFijosAdq+CosteTenenciaFlip)</f>
        <v>0.350651617413492</v>
      </c>
      <c r="I27" s="92" t="n">
        <f aca="false">((I$21*(1-DescuentoNeg)*(1-ComisionVenta*(1+TipoIVA))-Plusvalia)-($B27+IF(Regimen=1,TipoITP*MAX($B27,ValorReferencia),TipoIVA*$B27*(1-IVADeducible))+CostesFijosAdq+CosteTenenciaFlip))/($B27+IF(Regimen=1,TipoITP*MAX($B27,ValorReferencia),TipoIVA*$B27*(1-IVADeducible))+CostesFijosAdq+CosteTenenciaFlip)</f>
        <v>0.463927673278851</v>
      </c>
    </row>
    <row r="28" customFormat="false" ht="15" hidden="false" customHeight="false" outlineLevel="0" collapsed="false">
      <c r="B28" s="90" t="n">
        <v>7000</v>
      </c>
      <c r="C28" s="92" t="n">
        <f aca="false">((C$21*(1-DescuentoNeg)*(1-ComisionVenta*(1+TipoIVA))-Plusvalia)-($B28+IF(Regimen=1,TipoITP*MAX($B28,ValorReferencia),TipoIVA*$B28*(1-IVADeducible))+CostesFijosAdq+CosteTenenciaFlip))/($B28+IF(Regimen=1,TipoITP*MAX($B28,ValorReferencia),TipoIVA*$B28*(1-IVADeducible))+CostesFijosAdq+CosteTenenciaFlip)</f>
        <v>-0.26142062673474</v>
      </c>
      <c r="D28" s="92" t="n">
        <f aca="false">((D$21*(1-DescuentoNeg)*(1-ComisionVenta*(1+TipoIVA))-Plusvalia)-($B28+IF(Regimen=1,TipoITP*MAX($B28,ValorReferencia),TipoIVA*$B28*(1-IVADeducible))+CostesFijosAdq+CosteTenenciaFlip))/($B28+IF(Regimen=1,TipoITP*MAX($B28,ValorReferencia),TipoIVA*$B28*(1-IVADeducible))+CostesFijosAdq+CosteTenenciaFlip)</f>
        <v>-0.154744079621464</v>
      </c>
      <c r="E28" s="92" t="n">
        <f aca="false">((E$21*(1-DescuentoNeg)*(1-ComisionVenta*(1+TipoIVA))-Plusvalia)-($B28+IF(Regimen=1,TipoITP*MAX($B28,ValorReferencia),TipoIVA*$B28*(1-IVADeducible))+CostesFijosAdq+CosteTenenciaFlip))/($B28+IF(Regimen=1,TipoITP*MAX($B28,ValorReferencia),TipoIVA*$B28*(1-IVADeducible))+CostesFijosAdq+CosteTenenciaFlip)</f>
        <v>-0.0480675325081886</v>
      </c>
      <c r="F28" s="92" t="n">
        <f aca="false">((F$21*(1-DescuentoNeg)*(1-ComisionVenta*(1+TipoIVA))-Plusvalia)-($B28+IF(Regimen=1,TipoITP*MAX($B28,ValorReferencia),TipoIVA*$B28*(1-IVADeducible))+CostesFijosAdq+CosteTenenciaFlip))/($B28+IF(Regimen=1,TipoITP*MAX($B28,ValorReferencia),TipoIVA*$B28*(1-IVADeducible))+CostesFijosAdq+CosteTenenciaFlip)</f>
        <v>0.058609014605087</v>
      </c>
      <c r="G28" s="92" t="n">
        <f aca="false">((G$21*(1-DescuentoNeg)*(1-ComisionVenta*(1+TipoIVA))-Plusvalia)-($B28+IF(Regimen=1,TipoITP*MAX($B28,ValorReferencia),TipoIVA*$B28*(1-IVADeducible))+CostesFijosAdq+CosteTenenciaFlip))/($B28+IF(Regimen=1,TipoITP*MAX($B28,ValorReferencia),TipoIVA*$B28*(1-IVADeducible))+CostesFijosAdq+CosteTenenciaFlip)</f>
        <v>0.165285561718363</v>
      </c>
      <c r="H28" s="92" t="n">
        <f aca="false">((H$21*(1-DescuentoNeg)*(1-ComisionVenta*(1+TipoIVA))-Plusvalia)-($B28+IF(Regimen=1,TipoITP*MAX($B28,ValorReferencia),TipoIVA*$B28*(1-IVADeducible))+CostesFijosAdq+CosteTenenciaFlip))/($B28+IF(Regimen=1,TipoITP*MAX($B28,ValorReferencia),TipoIVA*$B28*(1-IVADeducible))+CostesFijosAdq+CosteTenenciaFlip)</f>
        <v>0.271962108831638</v>
      </c>
      <c r="I28" s="92" t="n">
        <f aca="false">((I$21*(1-DescuentoNeg)*(1-ComisionVenta*(1+TipoIVA))-Plusvalia)-($B28+IF(Regimen=1,TipoITP*MAX($B28,ValorReferencia),TipoIVA*$B28*(1-IVADeducible))+CostesFijosAdq+CosteTenenciaFlip))/($B28+IF(Regimen=1,TipoITP*MAX($B28,ValorReferencia),TipoIVA*$B28*(1-IVADeducible))+CostesFijosAdq+CosteTenenciaFlip)</f>
        <v>0.378638655944914</v>
      </c>
    </row>
    <row r="29" customFormat="false" ht="15" hidden="false" customHeight="false" outlineLevel="0" collapsed="false">
      <c r="B29" s="90" t="n">
        <v>7500</v>
      </c>
      <c r="C29" s="92" t="n">
        <f aca="false">((C$21*(1-DescuentoNeg)*(1-ComisionVenta*(1+TipoIVA))-Plusvalia)-($B29+IF(Regimen=1,TipoITP*MAX($B29,ValorReferencia),TipoIVA*$B29*(1-IVADeducible))+CostesFijosAdq+CosteTenenciaFlip))/($B29+IF(Regimen=1,TipoITP*MAX($B29,ValorReferencia),TipoIVA*$B29*(1-IVADeducible))+CostesFijosAdq+CosteTenenciaFlip)</f>
        <v>-0.304341869398207</v>
      </c>
      <c r="D29" s="92" t="n">
        <f aca="false">((D$21*(1-DescuentoNeg)*(1-ComisionVenta*(1+TipoIVA))-Plusvalia)-($B29+IF(Regimen=1,TipoITP*MAX($B29,ValorReferencia),TipoIVA*$B29*(1-IVADeducible))+CostesFijosAdq+CosteTenenciaFlip))/($B29+IF(Regimen=1,TipoITP*MAX($B29,ValorReferencia),TipoIVA*$B29*(1-IVADeducible))+CostesFijosAdq+CosteTenenciaFlip)</f>
        <v>-0.203864642399854</v>
      </c>
      <c r="E29" s="92" t="n">
        <f aca="false">((E$21*(1-DescuentoNeg)*(1-ComisionVenta*(1+TipoIVA))-Plusvalia)-($B29+IF(Regimen=1,TipoITP*MAX($B29,ValorReferencia),TipoIVA*$B29*(1-IVADeducible))+CostesFijosAdq+CosteTenenciaFlip))/($B29+IF(Regimen=1,TipoITP*MAX($B29,ValorReferencia),TipoIVA*$B29*(1-IVADeducible))+CostesFijosAdq+CosteTenenciaFlip)</f>
        <v>-0.1033874154015</v>
      </c>
      <c r="F29" s="92" t="n">
        <f aca="false">((F$21*(1-DescuentoNeg)*(1-ComisionVenta*(1+TipoIVA))-Plusvalia)-($B29+IF(Regimen=1,TipoITP*MAX($B29,ValorReferencia),TipoIVA*$B29*(1-IVADeducible))+CostesFijosAdq+CosteTenenciaFlip))/($B29+IF(Regimen=1,TipoITP*MAX($B29,ValorReferencia),TipoIVA*$B29*(1-IVADeducible))+CostesFijosAdq+CosteTenenciaFlip)</f>
        <v>-0.00291018840314612</v>
      </c>
      <c r="G29" s="92" t="n">
        <f aca="false">((G$21*(1-DescuentoNeg)*(1-ComisionVenta*(1+TipoIVA))-Plusvalia)-($B29+IF(Regimen=1,TipoITP*MAX($B29,ValorReferencia),TipoIVA*$B29*(1-IVADeducible))+CostesFijosAdq+CosteTenenciaFlip))/($B29+IF(Regimen=1,TipoITP*MAX($B29,ValorReferencia),TipoIVA*$B29*(1-IVADeducible))+CostesFijosAdq+CosteTenenciaFlip)</f>
        <v>0.0975670385952078</v>
      </c>
      <c r="H29" s="92" t="n">
        <f aca="false">((H$21*(1-DescuentoNeg)*(1-ComisionVenta*(1+TipoIVA))-Plusvalia)-($B29+IF(Regimen=1,TipoITP*MAX($B29,ValorReferencia),TipoIVA*$B29*(1-IVADeducible))+CostesFijosAdq+CosteTenenciaFlip))/($B29+IF(Regimen=1,TipoITP*MAX($B29,ValorReferencia),TipoIVA*$B29*(1-IVADeducible))+CostesFijosAdq+CosteTenenciaFlip)</f>
        <v>0.198044265593561</v>
      </c>
      <c r="I29" s="92" t="n">
        <f aca="false">((I$21*(1-DescuentoNeg)*(1-ComisionVenta*(1+TipoIVA))-Plusvalia)-($B29+IF(Regimen=1,TipoITP*MAX($B29,ValorReferencia),TipoIVA*$B29*(1-IVADeducible))+CostesFijosAdq+CosteTenenciaFlip))/($B29+IF(Regimen=1,TipoITP*MAX($B29,ValorReferencia),TipoIVA*$B29*(1-IVADeducible))+CostesFijosAdq+CosteTenenciaFlip)</f>
        <v>0.298521492591915</v>
      </c>
    </row>
    <row r="30" customFormat="false" ht="15" hidden="false" customHeight="false" outlineLevel="0" collapsed="false">
      <c r="B30" s="90" t="n">
        <v>8000</v>
      </c>
      <c r="C30" s="92" t="n">
        <f aca="false">((C$21*(1-DescuentoNeg)*(1-ComisionVenta*(1+TipoIVA))-Plusvalia)-($B30+IF(Regimen=1,TipoITP*MAX($B30,ValorReferencia),TipoIVA*$B30*(1-IVADeducible))+CostesFijosAdq+CosteTenenciaFlip))/($B30+IF(Regimen=1,TipoITP*MAX($B30,ValorReferencia),TipoIVA*$B30*(1-IVADeducible))+CostesFijosAdq+CosteTenenciaFlip)</f>
        <v>-0.342922771250864</v>
      </c>
      <c r="D30" s="92" t="n">
        <f aca="false">((D$21*(1-DescuentoNeg)*(1-ComisionVenta*(1+TipoIVA))-Plusvalia)-($B30+IF(Regimen=1,TipoITP*MAX($B30,ValorReferencia),TipoIVA*$B30*(1-IVADeducible))+CostesFijosAdq+CosteTenenciaFlip))/($B30+IF(Regimen=1,TipoITP*MAX($B30,ValorReferencia),TipoIVA*$B30*(1-IVADeducible))+CostesFijosAdq+CosteTenenciaFlip)</f>
        <v>-0.24801796821009</v>
      </c>
      <c r="E30" s="92" t="n">
        <f aca="false">((E$21*(1-DescuentoNeg)*(1-ComisionVenta*(1+TipoIVA))-Plusvalia)-($B30+IF(Regimen=1,TipoITP*MAX($B30,ValorReferencia),TipoIVA*$B30*(1-IVADeducible))+CostesFijosAdq+CosteTenenciaFlip))/($B30+IF(Regimen=1,TipoITP*MAX($B30,ValorReferencia),TipoIVA*$B30*(1-IVADeducible))+CostesFijosAdq+CosteTenenciaFlip)</f>
        <v>-0.153113165169316</v>
      </c>
      <c r="F30" s="92" t="n">
        <f aca="false">((F$21*(1-DescuentoNeg)*(1-ComisionVenta*(1+TipoIVA))-Plusvalia)-($B30+IF(Regimen=1,TipoITP*MAX($B30,ValorReferencia),TipoIVA*$B30*(1-IVADeducible))+CostesFijosAdq+CosteTenenciaFlip))/($B30+IF(Regimen=1,TipoITP*MAX($B30,ValorReferencia),TipoIVA*$B30*(1-IVADeducible))+CostesFijosAdq+CosteTenenciaFlip)</f>
        <v>-0.0582083621285418</v>
      </c>
      <c r="G30" s="92" t="n">
        <f aca="false">((G$21*(1-DescuentoNeg)*(1-ComisionVenta*(1+TipoIVA))-Plusvalia)-($B30+IF(Regimen=1,TipoITP*MAX($B30,ValorReferencia),TipoIVA*$B30*(1-IVADeducible))+CostesFijosAdq+CosteTenenciaFlip))/($B30+IF(Regimen=1,TipoITP*MAX($B30,ValorReferencia),TipoIVA*$B30*(1-IVADeducible))+CostesFijosAdq+CosteTenenciaFlip)</f>
        <v>0.0366964409122324</v>
      </c>
      <c r="H30" s="92" t="n">
        <f aca="false">((H$21*(1-DescuentoNeg)*(1-ComisionVenta*(1+TipoIVA))-Plusvalia)-($B30+IF(Regimen=1,TipoITP*MAX($B30,ValorReferencia),TipoIVA*$B30*(1-IVADeducible))+CostesFijosAdq+CosteTenenciaFlip))/($B30+IF(Regimen=1,TipoITP*MAX($B30,ValorReferencia),TipoIVA*$B30*(1-IVADeducible))+CostesFijosAdq+CosteTenenciaFlip)</f>
        <v>0.131601243953006</v>
      </c>
      <c r="I30" s="92" t="n">
        <f aca="false">((I$21*(1-DescuentoNeg)*(1-ComisionVenta*(1+TipoIVA))-Plusvalia)-($B30+IF(Regimen=1,TipoITP*MAX($B30,ValorReferencia),TipoIVA*$B30*(1-IVADeducible))+CostesFijosAdq+CosteTenenciaFlip))/($B30+IF(Regimen=1,TipoITP*MAX($B30,ValorReferencia),TipoIVA*$B30*(1-IVADeducible))+CostesFijosAdq+CosteTenenciaFlip)</f>
        <v>0.22650604699378</v>
      </c>
    </row>
    <row r="33" customFormat="false" ht="15" hidden="false" customHeight="false" outlineLevel="0" collapsed="false">
      <c r="B33" s="6" t="s">
        <v>628</v>
      </c>
      <c r="C33" s="7"/>
      <c r="D33" s="7"/>
      <c r="E33" s="7"/>
      <c r="F33" s="7"/>
      <c r="G33" s="7"/>
      <c r="H33" s="7"/>
      <c r="I33" s="7"/>
    </row>
    <row r="34" customFormat="false" ht="15" hidden="false" customHeight="false" outlineLevel="0" collapsed="false">
      <c r="B34" s="24" t="s">
        <v>629</v>
      </c>
      <c r="C34" s="90" t="n">
        <v>30</v>
      </c>
      <c r="D34" s="90" t="n">
        <v>35</v>
      </c>
      <c r="E34" s="90" t="n">
        <v>40</v>
      </c>
      <c r="F34" s="90" t="n">
        <v>45</v>
      </c>
      <c r="G34" s="90" t="n">
        <v>50</v>
      </c>
      <c r="H34" s="90" t="n">
        <v>55</v>
      </c>
      <c r="I34" s="90" t="n">
        <v>60</v>
      </c>
    </row>
    <row r="35" customFormat="false" ht="15" hidden="false" customHeight="false" outlineLevel="0" collapsed="false">
      <c r="B35" s="90" t="n">
        <v>4000</v>
      </c>
      <c r="C35" s="92" t="n">
        <f aca="false">(C$34/(1+TipoIVA*RentaInclIVA)*12*(1-Desocupacion)*(1-GestionPct-MantenimientoPct)-CuotaComunidad*12-IBIAnual-SeguroAnual)/($B35+IF(Regimen=1,TipoITP*MAX($B35,ValorReferencia),TipoIVA*$B35*(1-IVADeducible))+CostesFijosAdq+CosteTenenciaAlq)</f>
        <v>0.0195311329709447</v>
      </c>
      <c r="D35" s="92" t="n">
        <f aca="false">(D$34/(1+TipoIVA*RentaInclIVA)*12*(1-Desocupacion)*(1-GestionPct-MantenimientoPct)-CuotaComunidad*12-IBIAnual-SeguroAnual)/($B35+IF(Regimen=1,TipoITP*MAX($B35,ValorReferencia),TipoIVA*$B35*(1-IVADeducible))+CostesFijosAdq+CosteTenenciaAlq)</f>
        <v>0.0275979251252036</v>
      </c>
      <c r="E35" s="92" t="n">
        <f aca="false">(E$34/(1+TipoIVA*RentaInclIVA)*12*(1-Desocupacion)*(1-GestionPct-MantenimientoPct)-CuotaComunidad*12-IBIAnual-SeguroAnual)/($B35+IF(Regimen=1,TipoITP*MAX($B35,ValorReferencia),TipoIVA*$B35*(1-IVADeducible))+CostesFijosAdq+CosteTenenciaAlq)</f>
        <v>0.0356647172794626</v>
      </c>
      <c r="F35" s="92" t="n">
        <f aca="false">(F$34/(1+TipoIVA*RentaInclIVA)*12*(1-Desocupacion)*(1-GestionPct-MantenimientoPct)-CuotaComunidad*12-IBIAnual-SeguroAnual)/($B35+IF(Regimen=1,TipoITP*MAX($B35,ValorReferencia),TipoIVA*$B35*(1-IVADeducible))+CostesFijosAdq+CosteTenenciaAlq)</f>
        <v>0.0437315094337216</v>
      </c>
      <c r="G35" s="92" t="n">
        <f aca="false">(G$34/(1+TipoIVA*RentaInclIVA)*12*(1-Desocupacion)*(1-GestionPct-MantenimientoPct)-CuotaComunidad*12-IBIAnual-SeguroAnual)/($B35+IF(Regimen=1,TipoITP*MAX($B35,ValorReferencia),TipoIVA*$B35*(1-IVADeducible))+CostesFijosAdq+CosteTenenciaAlq)</f>
        <v>0.0517983015879805</v>
      </c>
      <c r="H35" s="92" t="n">
        <f aca="false">(H$34/(1+TipoIVA*RentaInclIVA)*12*(1-Desocupacion)*(1-GestionPct-MantenimientoPct)-CuotaComunidad*12-IBIAnual-SeguroAnual)/($B35+IF(Regimen=1,TipoITP*MAX($B35,ValorReferencia),TipoIVA*$B35*(1-IVADeducible))+CostesFijosAdq+CosteTenenciaAlq)</f>
        <v>0.0598650937422395</v>
      </c>
      <c r="I35" s="92" t="n">
        <f aca="false">(I$34/(1+TipoIVA*RentaInclIVA)*12*(1-Desocupacion)*(1-GestionPct-MantenimientoPct)-CuotaComunidad*12-IBIAnual-SeguroAnual)/($B35+IF(Regimen=1,TipoITP*MAX($B35,ValorReferencia),TipoIVA*$B35*(1-IVADeducible))+CostesFijosAdq+CosteTenenciaAlq)</f>
        <v>0.0679318858964985</v>
      </c>
    </row>
    <row r="36" customFormat="false" ht="15" hidden="false" customHeight="false" outlineLevel="0" collapsed="false">
      <c r="B36" s="90" t="n">
        <v>4500</v>
      </c>
      <c r="C36" s="92" t="n">
        <f aca="false">(C$34/(1+TipoIVA*RentaInclIVA)*12*(1-Desocupacion)*(1-GestionPct-MantenimientoPct)-CuotaComunidad*12-IBIAnual-SeguroAnual)/($B36+IF(Regimen=1,TipoITP*MAX($B36,ValorReferencia),TipoIVA*$B36*(1-IVADeducible))+CostesFijosAdq+CosteTenenciaAlq)</f>
        <v>0.0179148948295225</v>
      </c>
      <c r="D36" s="92" t="n">
        <f aca="false">(D$34/(1+TipoIVA*RentaInclIVA)*12*(1-Desocupacion)*(1-GestionPct-MantenimientoPct)-CuotaComunidad*12-IBIAnual-SeguroAnual)/($B36+IF(Regimen=1,TipoITP*MAX($B36,ValorReferencia),TipoIVA*$B36*(1-IVADeducible))+CostesFijosAdq+CosteTenenciaAlq)</f>
        <v>0.0253141446974207</v>
      </c>
      <c r="E36" s="92" t="n">
        <f aca="false">(E$34/(1+TipoIVA*RentaInclIVA)*12*(1-Desocupacion)*(1-GestionPct-MantenimientoPct)-CuotaComunidad*12-IBIAnual-SeguroAnual)/($B36+IF(Regimen=1,TipoITP*MAX($B36,ValorReferencia),TipoIVA*$B36*(1-IVADeducible))+CostesFijosAdq+CosteTenenciaAlq)</f>
        <v>0.0327133945653191</v>
      </c>
      <c r="F36" s="92" t="n">
        <f aca="false">(F$34/(1+TipoIVA*RentaInclIVA)*12*(1-Desocupacion)*(1-GestionPct-MantenimientoPct)-CuotaComunidad*12-IBIAnual-SeguroAnual)/($B36+IF(Regimen=1,TipoITP*MAX($B36,ValorReferencia),TipoIVA*$B36*(1-IVADeducible))+CostesFijosAdq+CosteTenenciaAlq)</f>
        <v>0.0401126444332173</v>
      </c>
      <c r="G36" s="92" t="n">
        <f aca="false">(G$34/(1+TipoIVA*RentaInclIVA)*12*(1-Desocupacion)*(1-GestionPct-MantenimientoPct)-CuotaComunidad*12-IBIAnual-SeguroAnual)/($B36+IF(Regimen=1,TipoITP*MAX($B36,ValorReferencia),TipoIVA*$B36*(1-IVADeducible))+CostesFijosAdq+CosteTenenciaAlq)</f>
        <v>0.0475118943011156</v>
      </c>
      <c r="H36" s="92" t="n">
        <f aca="false">(H$34/(1+TipoIVA*RentaInclIVA)*12*(1-Desocupacion)*(1-GestionPct-MantenimientoPct)-CuotaComunidad*12-IBIAnual-SeguroAnual)/($B36+IF(Regimen=1,TipoITP*MAX($B36,ValorReferencia),TipoIVA*$B36*(1-IVADeducible))+CostesFijosAdq+CosteTenenciaAlq)</f>
        <v>0.0549111441690139</v>
      </c>
      <c r="I36" s="92" t="n">
        <f aca="false">(I$34/(1+TipoIVA*RentaInclIVA)*12*(1-Desocupacion)*(1-GestionPct-MantenimientoPct)-CuotaComunidad*12-IBIAnual-SeguroAnual)/($B36+IF(Regimen=1,TipoITP*MAX($B36,ValorReferencia),TipoIVA*$B36*(1-IVADeducible))+CostesFijosAdq+CosteTenenciaAlq)</f>
        <v>0.0623103940369122</v>
      </c>
    </row>
    <row r="37" customFormat="false" ht="15" hidden="false" customHeight="false" outlineLevel="0" collapsed="false">
      <c r="B37" s="90" t="n">
        <v>5000</v>
      </c>
      <c r="C37" s="92" t="n">
        <f aca="false">(C$34/(1+TipoIVA*RentaInclIVA)*12*(1-Desocupacion)*(1-GestionPct-MantenimientoPct)-CuotaComunidad*12-IBIAnual-SeguroAnual)/($B37+IF(Regimen=1,TipoITP*MAX($B37,ValorReferencia),TipoIVA*$B37*(1-IVADeducible))+CostesFijosAdq+CosteTenenciaAlq)</f>
        <v>0.0165457063772467</v>
      </c>
      <c r="D37" s="92" t="n">
        <f aca="false">(D$34/(1+TipoIVA*RentaInclIVA)*12*(1-Desocupacion)*(1-GestionPct-MantenimientoPct)-CuotaComunidad*12-IBIAnual-SeguroAnual)/($B37+IF(Regimen=1,TipoITP*MAX($B37,ValorReferencia),TipoIVA*$B37*(1-IVADeducible))+CostesFijosAdq+CosteTenenciaAlq)</f>
        <v>0.0233794509730776</v>
      </c>
      <c r="E37" s="92" t="n">
        <f aca="false">(E$34/(1+TipoIVA*RentaInclIVA)*12*(1-Desocupacion)*(1-GestionPct-MantenimientoPct)-CuotaComunidad*12-IBIAnual-SeguroAnual)/($B37+IF(Regimen=1,TipoITP*MAX($B37,ValorReferencia),TipoIVA*$B37*(1-IVADeducible))+CostesFijosAdq+CosteTenenciaAlq)</f>
        <v>0.0302131955689084</v>
      </c>
      <c r="F37" s="92" t="n">
        <f aca="false">(F$34/(1+TipoIVA*RentaInclIVA)*12*(1-Desocupacion)*(1-GestionPct-MantenimientoPct)-CuotaComunidad*12-IBIAnual-SeguroAnual)/($B37+IF(Regimen=1,TipoITP*MAX($B37,ValorReferencia),TipoIVA*$B37*(1-IVADeducible))+CostesFijosAdq+CosteTenenciaAlq)</f>
        <v>0.0370469401647393</v>
      </c>
      <c r="G37" s="92" t="n">
        <f aca="false">(G$34/(1+TipoIVA*RentaInclIVA)*12*(1-Desocupacion)*(1-GestionPct-MantenimientoPct)-CuotaComunidad*12-IBIAnual-SeguroAnual)/($B37+IF(Regimen=1,TipoITP*MAX($B37,ValorReferencia),TipoIVA*$B37*(1-IVADeducible))+CostesFijosAdq+CosteTenenciaAlq)</f>
        <v>0.0438806847605701</v>
      </c>
      <c r="H37" s="92" t="n">
        <f aca="false">(H$34/(1+TipoIVA*RentaInclIVA)*12*(1-Desocupacion)*(1-GestionPct-MantenimientoPct)-CuotaComunidad*12-IBIAnual-SeguroAnual)/($B37+IF(Regimen=1,TipoITP*MAX($B37,ValorReferencia),TipoIVA*$B37*(1-IVADeducible))+CostesFijosAdq+CosteTenenciaAlq)</f>
        <v>0.050714429356401</v>
      </c>
      <c r="I37" s="92" t="n">
        <f aca="false">(I$34/(1+TipoIVA*RentaInclIVA)*12*(1-Desocupacion)*(1-GestionPct-MantenimientoPct)-CuotaComunidad*12-IBIAnual-SeguroAnual)/($B37+IF(Regimen=1,TipoITP*MAX($B37,ValorReferencia),TipoIVA*$B37*(1-IVADeducible))+CostesFijosAdq+CosteTenenciaAlq)</f>
        <v>0.0575481739522318</v>
      </c>
    </row>
    <row r="38" customFormat="false" ht="15" hidden="false" customHeight="false" outlineLevel="0" collapsed="false">
      <c r="B38" s="90" t="n">
        <v>5500</v>
      </c>
      <c r="C38" s="92" t="n">
        <f aca="false">(C$34/(1+TipoIVA*RentaInclIVA)*12*(1-Desocupacion)*(1-GestionPct-MantenimientoPct)-CuotaComunidad*12-IBIAnual-SeguroAnual)/($B38+IF(Regimen=1,TipoITP*MAX($B38,ValorReferencia),TipoIVA*$B38*(1-IVADeducible))+CostesFijosAdq+CosteTenenciaAlq)</f>
        <v>0.0153709453178059</v>
      </c>
      <c r="D38" s="92" t="n">
        <f aca="false">(D$34/(1+TipoIVA*RentaInclIVA)*12*(1-Desocupacion)*(1-GestionPct-MantenimientoPct)-CuotaComunidad*12-IBIAnual-SeguroAnual)/($B38+IF(Regimen=1,TipoITP*MAX($B38,ValorReferencia),TipoIVA*$B38*(1-IVADeducible))+CostesFijosAdq+CosteTenenciaAlq)</f>
        <v>0.02171948747753</v>
      </c>
      <c r="E38" s="92" t="n">
        <f aca="false">(E$34/(1+TipoIVA*RentaInclIVA)*12*(1-Desocupacion)*(1-GestionPct-MantenimientoPct)-CuotaComunidad*12-IBIAnual-SeguroAnual)/($B38+IF(Regimen=1,TipoITP*MAX($B38,ValorReferencia),TipoIVA*$B38*(1-IVADeducible))+CostesFijosAdq+CosteTenenciaAlq)</f>
        <v>0.0280680296372542</v>
      </c>
      <c r="F38" s="92" t="n">
        <f aca="false">(F$34/(1+TipoIVA*RentaInclIVA)*12*(1-Desocupacion)*(1-GestionPct-MantenimientoPct)-CuotaComunidad*12-IBIAnual-SeguroAnual)/($B38+IF(Regimen=1,TipoITP*MAX($B38,ValorReferencia),TipoIVA*$B38*(1-IVADeducible))+CostesFijosAdq+CosteTenenciaAlq)</f>
        <v>0.0344165717969783</v>
      </c>
      <c r="G38" s="92" t="n">
        <f aca="false">(G$34/(1+TipoIVA*RentaInclIVA)*12*(1-Desocupacion)*(1-GestionPct-MantenimientoPct)-CuotaComunidad*12-IBIAnual-SeguroAnual)/($B38+IF(Regimen=1,TipoITP*MAX($B38,ValorReferencia),TipoIVA*$B38*(1-IVADeducible))+CostesFijosAdq+CosteTenenciaAlq)</f>
        <v>0.0407651139567024</v>
      </c>
      <c r="H38" s="92" t="n">
        <f aca="false">(H$34/(1+TipoIVA*RentaInclIVA)*12*(1-Desocupacion)*(1-GestionPct-MantenimientoPct)-CuotaComunidad*12-IBIAnual-SeguroAnual)/($B38+IF(Regimen=1,TipoITP*MAX($B38,ValorReferencia),TipoIVA*$B38*(1-IVADeducible))+CostesFijosAdq+CosteTenenciaAlq)</f>
        <v>0.0471136561164266</v>
      </c>
      <c r="I38" s="92" t="n">
        <f aca="false">(I$34/(1+TipoIVA*RentaInclIVA)*12*(1-Desocupacion)*(1-GestionPct-MantenimientoPct)-CuotaComunidad*12-IBIAnual-SeguroAnual)/($B38+IF(Regimen=1,TipoITP*MAX($B38,ValorReferencia),TipoIVA*$B38*(1-IVADeducible))+CostesFijosAdq+CosteTenenciaAlq)</f>
        <v>0.0534621982761507</v>
      </c>
    </row>
    <row r="39" customFormat="false" ht="15" hidden="false" customHeight="false" outlineLevel="0" collapsed="false">
      <c r="B39" s="90" t="n">
        <v>6000</v>
      </c>
      <c r="C39" s="92" t="n">
        <f aca="false">(C$34/(1+TipoIVA*RentaInclIVA)*12*(1-Desocupacion)*(1-GestionPct-MantenimientoPct)-CuotaComunidad*12-IBIAnual-SeguroAnual)/($B39+IF(Regimen=1,TipoITP*MAX($B39,ValorReferencia),TipoIVA*$B39*(1-IVADeducible))+CostesFijosAdq+CosteTenenciaAlq)</f>
        <v>0.0143519435295817</v>
      </c>
      <c r="D39" s="92" t="n">
        <f aca="false">(D$34/(1+TipoIVA*RentaInclIVA)*12*(1-Desocupacion)*(1-GestionPct-MantenimientoPct)-CuotaComunidad*12-IBIAnual-SeguroAnual)/($B39+IF(Regimen=1,TipoITP*MAX($B39,ValorReferencia),TipoIVA*$B39*(1-IVADeducible))+CostesFijosAdq+CosteTenenciaAlq)</f>
        <v>0.0202796152952201</v>
      </c>
      <c r="E39" s="92" t="n">
        <f aca="false">(E$34/(1+TipoIVA*RentaInclIVA)*12*(1-Desocupacion)*(1-GestionPct-MantenimientoPct)-CuotaComunidad*12-IBIAnual-SeguroAnual)/($B39+IF(Regimen=1,TipoITP*MAX($B39,ValorReferencia),TipoIVA*$B39*(1-IVADeducible))+CostesFijosAdq+CosteTenenciaAlq)</f>
        <v>0.0262072870608585</v>
      </c>
      <c r="F39" s="92" t="n">
        <f aca="false">(F$34/(1+TipoIVA*RentaInclIVA)*12*(1-Desocupacion)*(1-GestionPct-MantenimientoPct)-CuotaComunidad*12-IBIAnual-SeguroAnual)/($B39+IF(Regimen=1,TipoITP*MAX($B39,ValorReferencia),TipoIVA*$B39*(1-IVADeducible))+CostesFijosAdq+CosteTenenciaAlq)</f>
        <v>0.0321349588264969</v>
      </c>
      <c r="G39" s="92" t="n">
        <f aca="false">(G$34/(1+TipoIVA*RentaInclIVA)*12*(1-Desocupacion)*(1-GestionPct-MantenimientoPct)-CuotaComunidad*12-IBIAnual-SeguroAnual)/($B39+IF(Regimen=1,TipoITP*MAX($B39,ValorReferencia),TipoIVA*$B39*(1-IVADeducible))+CostesFijosAdq+CosteTenenciaAlq)</f>
        <v>0.0380626305921352</v>
      </c>
      <c r="H39" s="92" t="n">
        <f aca="false">(H$34/(1+TipoIVA*RentaInclIVA)*12*(1-Desocupacion)*(1-GestionPct-MantenimientoPct)-CuotaComunidad*12-IBIAnual-SeguroAnual)/($B39+IF(Regimen=1,TipoITP*MAX($B39,ValorReferencia),TipoIVA*$B39*(1-IVADeducible))+CostesFijosAdq+CosteTenenciaAlq)</f>
        <v>0.0439903023577736</v>
      </c>
      <c r="I39" s="92" t="n">
        <f aca="false">(I$34/(1+TipoIVA*RentaInclIVA)*12*(1-Desocupacion)*(1-GestionPct-MantenimientoPct)-CuotaComunidad*12-IBIAnual-SeguroAnual)/($B39+IF(Regimen=1,TipoITP*MAX($B39,ValorReferencia),TipoIVA*$B39*(1-IVADeducible))+CostesFijosAdq+CosteTenenciaAlq)</f>
        <v>0.049917974123412</v>
      </c>
    </row>
    <row r="40" customFormat="false" ht="15" hidden="false" customHeight="false" outlineLevel="0" collapsed="false">
      <c r="B40" s="90" t="n">
        <v>6500</v>
      </c>
      <c r="C40" s="92" t="n">
        <f aca="false">(C$34/(1+TipoIVA*RentaInclIVA)*12*(1-Desocupacion)*(1-GestionPct-MantenimientoPct)-CuotaComunidad*12-IBIAnual-SeguroAnual)/($B40+IF(Regimen=1,TipoITP*MAX($B40,ValorReferencia),TipoIVA*$B40*(1-IVADeducible))+CostesFijosAdq+CosteTenenciaAlq)</f>
        <v>0.0134596492453765</v>
      </c>
      <c r="D40" s="92" t="n">
        <f aca="false">(D$34/(1+TipoIVA*RentaInclIVA)*12*(1-Desocupacion)*(1-GestionPct-MantenimientoPct)-CuotaComunidad*12-IBIAnual-SeguroAnual)/($B40+IF(Regimen=1,TipoITP*MAX($B40,ValorReferencia),TipoIVA*$B40*(1-IVADeducible))+CostesFijosAdq+CosteTenenciaAlq)</f>
        <v>0.0190187836331872</v>
      </c>
      <c r="E40" s="92" t="n">
        <f aca="false">(E$34/(1+TipoIVA*RentaInclIVA)*12*(1-Desocupacion)*(1-GestionPct-MantenimientoPct)-CuotaComunidad*12-IBIAnual-SeguroAnual)/($B40+IF(Regimen=1,TipoITP*MAX($B40,ValorReferencia),TipoIVA*$B40*(1-IVADeducible))+CostesFijosAdq+CosteTenenciaAlq)</f>
        <v>0.0245779180209978</v>
      </c>
      <c r="F40" s="92" t="n">
        <f aca="false">(F$34/(1+TipoIVA*RentaInclIVA)*12*(1-Desocupacion)*(1-GestionPct-MantenimientoPct)-CuotaComunidad*12-IBIAnual-SeguroAnual)/($B40+IF(Regimen=1,TipoITP*MAX($B40,ValorReferencia),TipoIVA*$B40*(1-IVADeducible))+CostesFijosAdq+CosteTenenciaAlq)</f>
        <v>0.0301370524088085</v>
      </c>
      <c r="G40" s="92" t="n">
        <f aca="false">(G$34/(1+TipoIVA*RentaInclIVA)*12*(1-Desocupacion)*(1-GestionPct-MantenimientoPct)-CuotaComunidad*12-IBIAnual-SeguroAnual)/($B40+IF(Regimen=1,TipoITP*MAX($B40,ValorReferencia),TipoIVA*$B40*(1-IVADeducible))+CostesFijosAdq+CosteTenenciaAlq)</f>
        <v>0.0356961867966191</v>
      </c>
      <c r="H40" s="92" t="n">
        <f aca="false">(H$34/(1+TipoIVA*RentaInclIVA)*12*(1-Desocupacion)*(1-GestionPct-MantenimientoPct)-CuotaComunidad*12-IBIAnual-SeguroAnual)/($B40+IF(Regimen=1,TipoITP*MAX($B40,ValorReferencia),TipoIVA*$B40*(1-IVADeducible))+CostesFijosAdq+CosteTenenciaAlq)</f>
        <v>0.0412553211844298</v>
      </c>
      <c r="I40" s="92" t="n">
        <f aca="false">(I$34/(1+TipoIVA*RentaInclIVA)*12*(1-Desocupacion)*(1-GestionPct-MantenimientoPct)-CuotaComunidad*12-IBIAnual-SeguroAnual)/($B40+IF(Regimen=1,TipoITP*MAX($B40,ValorReferencia),TipoIVA*$B40*(1-IVADeducible))+CostesFijosAdq+CosteTenenciaAlq)</f>
        <v>0.0468144555722404</v>
      </c>
    </row>
    <row r="41" customFormat="false" ht="15" hidden="false" customHeight="false" outlineLevel="0" collapsed="false">
      <c r="B41" s="90" t="n">
        <v>7000</v>
      </c>
      <c r="C41" s="92" t="n">
        <f aca="false">(C$34/(1+TipoIVA*RentaInclIVA)*12*(1-Desocupacion)*(1-GestionPct-MantenimientoPct)-CuotaComunidad*12-IBIAnual-SeguroAnual)/($B41+IF(Regimen=1,TipoITP*MAX($B41,ValorReferencia),TipoIVA*$B41*(1-IVADeducible))+CostesFijosAdq+CosteTenenciaAlq)</f>
        <v>0.0126718126715995</v>
      </c>
      <c r="D41" s="92" t="n">
        <f aca="false">(D$34/(1+TipoIVA*RentaInclIVA)*12*(1-Desocupacion)*(1-GestionPct-MantenimientoPct)-CuotaComunidad*12-IBIAnual-SeguroAnual)/($B41+IF(Regimen=1,TipoITP*MAX($B41,ValorReferencia),TipoIVA*$B41*(1-IVADeducible))+CostesFijosAdq+CosteTenenciaAlq)</f>
        <v>0.0179055530384059</v>
      </c>
      <c r="E41" s="92" t="n">
        <f aca="false">(E$34/(1+TipoIVA*RentaInclIVA)*12*(1-Desocupacion)*(1-GestionPct-MantenimientoPct)-CuotaComunidad*12-IBIAnual-SeguroAnual)/($B41+IF(Regimen=1,TipoITP*MAX($B41,ValorReferencia),TipoIVA*$B41*(1-IVADeducible))+CostesFijosAdq+CosteTenenciaAlq)</f>
        <v>0.0231392934052124</v>
      </c>
      <c r="F41" s="92" t="n">
        <f aca="false">(F$34/(1+TipoIVA*RentaInclIVA)*12*(1-Desocupacion)*(1-GestionPct-MantenimientoPct)-CuotaComunidad*12-IBIAnual-SeguroAnual)/($B41+IF(Regimen=1,TipoITP*MAX($B41,ValorReferencia),TipoIVA*$B41*(1-IVADeducible))+CostesFijosAdq+CosteTenenciaAlq)</f>
        <v>0.0283730337720189</v>
      </c>
      <c r="G41" s="92" t="n">
        <f aca="false">(G$34/(1+TipoIVA*RentaInclIVA)*12*(1-Desocupacion)*(1-GestionPct-MantenimientoPct)-CuotaComunidad*12-IBIAnual-SeguroAnual)/($B41+IF(Regimen=1,TipoITP*MAX($B41,ValorReferencia),TipoIVA*$B41*(1-IVADeducible))+CostesFijosAdq+CosteTenenciaAlq)</f>
        <v>0.0336067741388254</v>
      </c>
      <c r="H41" s="92" t="n">
        <f aca="false">(H$34/(1+TipoIVA*RentaInclIVA)*12*(1-Desocupacion)*(1-GestionPct-MantenimientoPct)-CuotaComunidad*12-IBIAnual-SeguroAnual)/($B41+IF(Regimen=1,TipoITP*MAX($B41,ValorReferencia),TipoIVA*$B41*(1-IVADeducible))+CostesFijosAdq+CosteTenenciaAlq)</f>
        <v>0.0388405145056319</v>
      </c>
      <c r="I41" s="92" t="n">
        <f aca="false">(I$34/(1+TipoIVA*RentaInclIVA)*12*(1-Desocupacion)*(1-GestionPct-MantenimientoPct)-CuotaComunidad*12-IBIAnual-SeguroAnual)/($B41+IF(Regimen=1,TipoITP*MAX($B41,ValorReferencia),TipoIVA*$B41*(1-IVADeducible))+CostesFijosAdq+CosteTenenciaAlq)</f>
        <v>0.0440742548724383</v>
      </c>
    </row>
    <row r="42" customFormat="false" ht="15" hidden="false" customHeight="false" outlineLevel="0" collapsed="false">
      <c r="B42" s="90" t="n">
        <v>7500</v>
      </c>
      <c r="C42" s="92" t="n">
        <f aca="false">(C$34/(1+TipoIVA*RentaInclIVA)*12*(1-Desocupacion)*(1-GestionPct-MantenimientoPct)-CuotaComunidad*12-IBIAnual-SeguroAnual)/($B42+IF(Regimen=1,TipoITP*MAX($B42,ValorReferencia),TipoIVA*$B42*(1-IVADeducible))+CostesFijosAdq+CosteTenenciaAlq)</f>
        <v>0.0119321655079008</v>
      </c>
      <c r="D42" s="92" t="n">
        <f aca="false">(D$34/(1+TipoIVA*RentaInclIVA)*12*(1-Desocupacion)*(1-GestionPct-MantenimientoPct)-CuotaComunidad*12-IBIAnual-SeguroAnual)/($B42+IF(Regimen=1,TipoITP*MAX($B42,ValorReferencia),TipoIVA*$B42*(1-IVADeducible))+CostesFijosAdq+CosteTenenciaAlq)</f>
        <v>0.0168604151514645</v>
      </c>
      <c r="E42" s="92" t="n">
        <f aca="false">(E$34/(1+TipoIVA*RentaInclIVA)*12*(1-Desocupacion)*(1-GestionPct-MantenimientoPct)-CuotaComunidad*12-IBIAnual-SeguroAnual)/($B42+IF(Regimen=1,TipoITP*MAX($B42,ValorReferencia),TipoIVA*$B42*(1-IVADeducible))+CostesFijosAdq+CosteTenenciaAlq)</f>
        <v>0.0217886647950283</v>
      </c>
      <c r="F42" s="92" t="n">
        <f aca="false">(F$34/(1+TipoIVA*RentaInclIVA)*12*(1-Desocupacion)*(1-GestionPct-MantenimientoPct)-CuotaComunidad*12-IBIAnual-SeguroAnual)/($B42+IF(Regimen=1,TipoITP*MAX($B42,ValorReferencia),TipoIVA*$B42*(1-IVADeducible))+CostesFijosAdq+CosteTenenciaAlq)</f>
        <v>0.026716914438592</v>
      </c>
      <c r="G42" s="92" t="n">
        <f aca="false">(G$34/(1+TipoIVA*RentaInclIVA)*12*(1-Desocupacion)*(1-GestionPct-MantenimientoPct)-CuotaComunidad*12-IBIAnual-SeguroAnual)/($B42+IF(Regimen=1,TipoITP*MAX($B42,ValorReferencia),TipoIVA*$B42*(1-IVADeducible))+CostesFijosAdq+CosteTenenciaAlq)</f>
        <v>0.0316451640821557</v>
      </c>
      <c r="H42" s="92" t="n">
        <f aca="false">(H$34/(1+TipoIVA*RentaInclIVA)*12*(1-Desocupacion)*(1-GestionPct-MantenimientoPct)-CuotaComunidad*12-IBIAnual-SeguroAnual)/($B42+IF(Regimen=1,TipoITP*MAX($B42,ValorReferencia),TipoIVA*$B42*(1-IVADeducible))+CostesFijosAdq+CosteTenenciaAlq)</f>
        <v>0.0365734137257194</v>
      </c>
      <c r="I42" s="92" t="n">
        <f aca="false">(I$34/(1+TipoIVA*RentaInclIVA)*12*(1-Desocupacion)*(1-GestionPct-MantenimientoPct)-CuotaComunidad*12-IBIAnual-SeguroAnual)/($B42+IF(Regimen=1,TipoITP*MAX($B42,ValorReferencia),TipoIVA*$B42*(1-IVADeducible))+CostesFijosAdq+CosteTenenciaAlq)</f>
        <v>0.0415016633692832</v>
      </c>
    </row>
    <row r="43" customFormat="false" ht="15" hidden="false" customHeight="false" outlineLevel="0" collapsed="false">
      <c r="B43" s="90" t="n">
        <v>8000</v>
      </c>
      <c r="C43" s="92" t="n">
        <f aca="false">(C$34/(1+TipoIVA*RentaInclIVA)*12*(1-Desocupacion)*(1-GestionPct-MantenimientoPct)-CuotaComunidad*12-IBIAnual-SeguroAnual)/($B43+IF(Regimen=1,TipoITP*MAX($B43,ValorReferencia),TipoIVA*$B43*(1-IVADeducible))+CostesFijosAdq+CosteTenenciaAlq)</f>
        <v>0.0112676573316281</v>
      </c>
      <c r="D43" s="92" t="n">
        <f aca="false">(D$34/(1+TipoIVA*RentaInclIVA)*12*(1-Desocupacion)*(1-GestionPct-MantenimientoPct)-CuotaComunidad*12-IBIAnual-SeguroAnual)/($B43+IF(Regimen=1,TipoITP*MAX($B43,ValorReferencia),TipoIVA*$B43*(1-IVADeducible))+CostesFijosAdq+CosteTenenciaAlq)</f>
        <v>0.0159214503243271</v>
      </c>
      <c r="E43" s="92" t="n">
        <f aca="false">(E$34/(1+TipoIVA*RentaInclIVA)*12*(1-Desocupacion)*(1-GestionPct-MantenimientoPct)-CuotaComunidad*12-IBIAnual-SeguroAnual)/($B43+IF(Regimen=1,TipoITP*MAX($B43,ValorReferencia),TipoIVA*$B43*(1-IVADeducible))+CostesFijosAdq+CosteTenenciaAlq)</f>
        <v>0.0205752433170262</v>
      </c>
      <c r="F43" s="92" t="n">
        <f aca="false">(F$34/(1+TipoIVA*RentaInclIVA)*12*(1-Desocupacion)*(1-GestionPct-MantenimientoPct)-CuotaComunidad*12-IBIAnual-SeguroAnual)/($B43+IF(Regimen=1,TipoITP*MAX($B43,ValorReferencia),TipoIVA*$B43*(1-IVADeducible))+CostesFijosAdq+CosteTenenciaAlq)</f>
        <v>0.0252290363097252</v>
      </c>
      <c r="G43" s="92" t="n">
        <f aca="false">(G$34/(1+TipoIVA*RentaInclIVA)*12*(1-Desocupacion)*(1-GestionPct-MantenimientoPct)-CuotaComunidad*12-IBIAnual-SeguroAnual)/($B43+IF(Regimen=1,TipoITP*MAX($B43,ValorReferencia),TipoIVA*$B43*(1-IVADeducible))+CostesFijosAdq+CosteTenenciaAlq)</f>
        <v>0.0298828293024243</v>
      </c>
      <c r="H43" s="92" t="n">
        <f aca="false">(H$34/(1+TipoIVA*RentaInclIVA)*12*(1-Desocupacion)*(1-GestionPct-MantenimientoPct)-CuotaComunidad*12-IBIAnual-SeguroAnual)/($B43+IF(Regimen=1,TipoITP*MAX($B43,ValorReferencia),TipoIVA*$B43*(1-IVADeducible))+CostesFijosAdq+CosteTenenciaAlq)</f>
        <v>0.0345366222951233</v>
      </c>
      <c r="I43" s="92" t="n">
        <f aca="false">(I$34/(1+TipoIVA*RentaInclIVA)*12*(1-Desocupacion)*(1-GestionPct-MantenimientoPct)-CuotaComunidad*12-IBIAnual-SeguroAnual)/($B43+IF(Regimen=1,TipoITP*MAX($B43,ValorReferencia),TipoIVA*$B43*(1-IVADeducible))+CostesFijosAdq+CosteTenenciaAlq)</f>
        <v>0.0391904152878224</v>
      </c>
    </row>
    <row r="46" customFormat="false" ht="15" hidden="false" customHeight="false" outlineLevel="0" collapsed="false">
      <c r="B46" s="5" t="s">
        <v>630</v>
      </c>
    </row>
  </sheetData>
  <conditionalFormatting sqref="C9:I17">
    <cfRule type="colorScale" priority="2">
      <colorScale>
        <cfvo type="min" val="0"/>
        <cfvo type="num" val="0"/>
        <cfvo type="max" val="0"/>
        <color rgb="FFF4B6B5"/>
        <color rgb="FFF2F2F2"/>
        <color rgb="FF9FD5B8"/>
      </colorScale>
    </cfRule>
  </conditionalFormatting>
  <conditionalFormatting sqref="C22:I30">
    <cfRule type="colorScale" priority="3">
      <colorScale>
        <cfvo type="min" val="0"/>
        <cfvo type="num" val="0"/>
        <cfvo type="max" val="0"/>
        <color rgb="FFF4B6B5"/>
        <color rgb="FFF2F2F2"/>
        <color rgb="FF9FD5B8"/>
      </colorScale>
    </cfRule>
  </conditionalFormatting>
  <conditionalFormatting sqref="C35:I43">
    <cfRule type="colorScale" priority="4">
      <colorScale>
        <cfvo type="min" val="0"/>
        <cfvo type="num" val="0.05"/>
        <cfvo type="max" val="0"/>
        <color rgb="FFF4B6B5"/>
        <color rgb="FFF2F2F2"/>
        <color rgb="FF9FD5B8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true"/>
  </sheetPr>
  <dimension ref="B2:E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5" min="3" style="0" width="16"/>
  </cols>
  <sheetData>
    <row r="2" customFormat="false" ht="19.7" hidden="false" customHeight="false" outlineLevel="0" collapsed="false">
      <c r="B2" s="1" t="s">
        <v>631</v>
      </c>
    </row>
    <row r="3" customFormat="false" ht="15" hidden="false" customHeight="false" outlineLevel="0" collapsed="false">
      <c r="B3" s="2" t="s">
        <v>632</v>
      </c>
    </row>
    <row r="5" customFormat="false" ht="15" hidden="false" customHeight="false" outlineLevel="0" collapsed="false">
      <c r="B5" s="24" t="s">
        <v>542</v>
      </c>
      <c r="C5" s="24" t="s">
        <v>199</v>
      </c>
      <c r="D5" s="24" t="s">
        <v>200</v>
      </c>
      <c r="E5" s="24" t="s">
        <v>201</v>
      </c>
    </row>
    <row r="6" customFormat="false" ht="15" hidden="false" customHeight="false" outlineLevel="0" collapsed="false">
      <c r="B6" s="10" t="s">
        <v>633</v>
      </c>
      <c r="C6" s="93" t="str">
        <f aca="false">IF(Escenario=1,"◄ activo","")</f>
        <v/>
      </c>
      <c r="D6" s="93" t="str">
        <f aca="false">IF(Escenario=2,"◄ activo","")</f>
        <v>◄ activo</v>
      </c>
      <c r="E6" s="93" t="str">
        <f aca="false">IF(Escenario=3,"◄ activo","")</f>
        <v/>
      </c>
    </row>
    <row r="7" customFormat="false" ht="15" hidden="false" customHeight="false" outlineLevel="0" collapsed="false">
      <c r="B7" s="6" t="s">
        <v>634</v>
      </c>
      <c r="C7" s="7"/>
      <c r="D7" s="7"/>
      <c r="E7" s="7"/>
    </row>
    <row r="8" customFormat="false" ht="15" hidden="false" customHeight="false" outlineLevel="0" collapsed="false">
      <c r="B8" s="10" t="s">
        <v>611</v>
      </c>
      <c r="C8" s="67" t="n">
        <f aca="false">Supuestos!C14</f>
        <v>6500</v>
      </c>
      <c r="D8" s="67" t="n">
        <f aca="false">Supuestos!D14</f>
        <v>5500</v>
      </c>
      <c r="E8" s="67" t="n">
        <f aca="false">Supuestos!E14</f>
        <v>5000</v>
      </c>
    </row>
    <row r="9" customFormat="false" ht="15" hidden="false" customHeight="false" outlineLevel="0" collapsed="false">
      <c r="B9" s="10" t="s">
        <v>10</v>
      </c>
      <c r="C9" s="68" t="n">
        <f aca="false">C8/ValorSubasta</f>
        <v>0.918280131949791</v>
      </c>
      <c r="D9" s="68" t="n">
        <f aca="false">D8/ValorSubasta</f>
        <v>0.777006265495977</v>
      </c>
      <c r="E9" s="68" t="n">
        <f aca="false">E8/ValorSubasta</f>
        <v>0.70636933226907</v>
      </c>
    </row>
    <row r="10" customFormat="false" ht="15" hidden="false" customHeight="false" outlineLevel="0" collapsed="false">
      <c r="B10" s="10" t="s">
        <v>296</v>
      </c>
      <c r="C10" s="67" t="n">
        <f aca="false">Supuestos!C15</f>
        <v>8000</v>
      </c>
      <c r="D10" s="67" t="n">
        <f aca="false">Supuestos!D15</f>
        <v>10000</v>
      </c>
      <c r="E10" s="67" t="n">
        <f aca="false">Supuestos!E15</f>
        <v>12000</v>
      </c>
    </row>
    <row r="11" customFormat="false" ht="15" hidden="false" customHeight="false" outlineLevel="0" collapsed="false">
      <c r="B11" s="10" t="s">
        <v>635</v>
      </c>
      <c r="C11" s="67" t="n">
        <f aca="false">Supuestos!C16</f>
        <v>35</v>
      </c>
      <c r="D11" s="67" t="n">
        <f aca="false">Supuestos!D16</f>
        <v>45</v>
      </c>
      <c r="E11" s="67" t="n">
        <f aca="false">Supuestos!E16</f>
        <v>50</v>
      </c>
    </row>
    <row r="12" customFormat="false" ht="15" hidden="false" customHeight="false" outlineLevel="0" collapsed="false">
      <c r="B12" s="10" t="s">
        <v>281</v>
      </c>
      <c r="C12" s="75" t="n">
        <f aca="false">Supuestos!C17</f>
        <v>6</v>
      </c>
      <c r="D12" s="75" t="n">
        <f aca="false">Supuestos!D17</f>
        <v>4</v>
      </c>
      <c r="E12" s="75" t="n">
        <f aca="false">Supuestos!E17</f>
        <v>3</v>
      </c>
    </row>
    <row r="13" customFormat="false" ht="15" hidden="false" customHeight="false" outlineLevel="0" collapsed="false">
      <c r="B13" s="10" t="s">
        <v>215</v>
      </c>
      <c r="C13" s="67" t="n">
        <f aca="false">Supuestos!C18</f>
        <v>800</v>
      </c>
      <c r="D13" s="67" t="n">
        <f aca="false">Supuestos!D18</f>
        <v>100</v>
      </c>
      <c r="E13" s="67" t="n">
        <f aca="false">Supuestos!E18</f>
        <v>60</v>
      </c>
    </row>
    <row r="14" customFormat="false" ht="15" hidden="false" customHeight="false" outlineLevel="0" collapsed="false">
      <c r="B14" s="10" t="s">
        <v>636</v>
      </c>
      <c r="C14" s="67" t="n">
        <f aca="false">Supuestos!C19</f>
        <v>15</v>
      </c>
      <c r="D14" s="67" t="n">
        <f aca="false">Supuestos!D19</f>
        <v>10</v>
      </c>
      <c r="E14" s="67" t="n">
        <f aca="false">Supuestos!E19</f>
        <v>8</v>
      </c>
    </row>
    <row r="15" customFormat="false" ht="15" hidden="false" customHeight="false" outlineLevel="0" collapsed="false">
      <c r="B15" s="10" t="s">
        <v>637</v>
      </c>
      <c r="C15" s="75" t="n">
        <f aca="false">Supuestos!C20</f>
        <v>46</v>
      </c>
      <c r="D15" s="75" t="n">
        <f aca="false">Supuestos!D20</f>
        <v>36</v>
      </c>
      <c r="E15" s="75" t="n">
        <f aca="false">Supuestos!E20</f>
        <v>12</v>
      </c>
    </row>
    <row r="16" customFormat="false" ht="15" hidden="false" customHeight="false" outlineLevel="0" collapsed="false">
      <c r="B16" s="10" t="s">
        <v>638</v>
      </c>
      <c r="C16" s="75" t="n">
        <f aca="false">Supuestos!C21</f>
        <v>8</v>
      </c>
      <c r="D16" s="75" t="n">
        <f aca="false">Supuestos!D21</f>
        <v>4</v>
      </c>
      <c r="E16" s="75" t="n">
        <f aca="false">Supuestos!E21</f>
        <v>2</v>
      </c>
    </row>
    <row r="17" customFormat="false" ht="15" hidden="false" customHeight="false" outlineLevel="0" collapsed="false">
      <c r="B17" s="10" t="s">
        <v>639</v>
      </c>
      <c r="C17" s="75" t="n">
        <f aca="false">Supuestos!C22</f>
        <v>2</v>
      </c>
      <c r="D17" s="75" t="n">
        <f aca="false">Supuestos!D22</f>
        <v>1</v>
      </c>
      <c r="E17" s="75" t="n">
        <f aca="false">Supuestos!E22</f>
        <v>1</v>
      </c>
    </row>
    <row r="18" customFormat="false" ht="15" hidden="false" customHeight="false" outlineLevel="0" collapsed="false">
      <c r="B18" s="6" t="s">
        <v>640</v>
      </c>
      <c r="C18" s="7"/>
      <c r="D18" s="7"/>
      <c r="E18" s="7"/>
    </row>
    <row r="19" customFormat="false" ht="15" hidden="false" customHeight="false" outlineLevel="0" collapsed="false">
      <c r="B19" s="10" t="s">
        <v>12</v>
      </c>
      <c r="C19" s="53" t="n">
        <f aca="false">IF(C17=1,TipoITP*MAX(C8,ValorReferencia),TipoIVA*C8*(1-IVADeducible))</f>
        <v>1365</v>
      </c>
      <c r="D19" s="53" t="n">
        <f aca="false">IF(D17=1,TipoITP*MAX(D8,ValorReferencia),TipoIVA*D8*(1-IVADeducible))</f>
        <v>495.4915</v>
      </c>
      <c r="E19" s="53" t="n">
        <f aca="false">IF(E17=1,TipoITP*MAX(E8,ValorReferencia),TipoIVA*E8*(1-IVADeducible))</f>
        <v>495.4915</v>
      </c>
    </row>
    <row r="20" customFormat="false" ht="15" hidden="false" customHeight="false" outlineLevel="0" collapsed="false">
      <c r="B20" s="10" t="s">
        <v>526</v>
      </c>
      <c r="C20" s="53" t="n">
        <f aca="false">Registro+Gestoria+Abogado+C14*C15+DeudaIBI+C13</f>
        <v>2050</v>
      </c>
      <c r="D20" s="53" t="n">
        <f aca="false">Registro+Gestoria+Abogado+D14*D15+DeudaIBI+D13</f>
        <v>1020</v>
      </c>
      <c r="E20" s="53" t="n">
        <f aca="false">Registro+Gestoria+Abogado+E14*E15+DeudaIBI+E13</f>
        <v>716</v>
      </c>
    </row>
    <row r="21" customFormat="false" ht="15" hidden="false" customHeight="false" outlineLevel="0" collapsed="false">
      <c r="B21" s="10" t="s">
        <v>641</v>
      </c>
      <c r="C21" s="55" t="n">
        <f aca="false">C12+C16</f>
        <v>14</v>
      </c>
      <c r="D21" s="55" t="n">
        <f aca="false">D12+D16</f>
        <v>8</v>
      </c>
      <c r="E21" s="55" t="n">
        <f aca="false">E12+E16</f>
        <v>5</v>
      </c>
    </row>
    <row r="22" customFormat="false" ht="15" hidden="false" customHeight="false" outlineLevel="0" collapsed="false">
      <c r="B22" s="10" t="s">
        <v>528</v>
      </c>
      <c r="C22" s="53" t="n">
        <f aca="false">(C14+(IBIAnual+SeguroAnual)/12)*MAX(0,C21-MesDecreto)</f>
        <v>201.666666666667</v>
      </c>
      <c r="D22" s="53" t="n">
        <f aca="false">(D14+(IBIAnual+SeguroAnual)/12)*MAX(0,D21-MesDecreto)</f>
        <v>66.6666666666667</v>
      </c>
      <c r="E22" s="53" t="n">
        <f aca="false">(E14+(IBIAnual+SeguroAnual)/12)*MAX(0,E21-MesDecreto)</f>
        <v>22.6666666666667</v>
      </c>
    </row>
    <row r="23" customFormat="false" ht="15" hidden="false" customHeight="false" outlineLevel="0" collapsed="false">
      <c r="B23" s="3" t="s">
        <v>530</v>
      </c>
      <c r="C23" s="46" t="n">
        <f aca="false">C8+C19+C20+C22</f>
        <v>10116.6666666667</v>
      </c>
      <c r="D23" s="46" t="n">
        <f aca="false">D8+D19+D20+D22</f>
        <v>7082.15816666667</v>
      </c>
      <c r="E23" s="46" t="n">
        <f aca="false">E8+E19+E20+E22</f>
        <v>6234.15816666667</v>
      </c>
    </row>
    <row r="24" customFormat="false" ht="15" hidden="false" customHeight="false" outlineLevel="0" collapsed="false">
      <c r="B24" s="10" t="s">
        <v>27</v>
      </c>
      <c r="C24" s="53" t="n">
        <f aca="false">C10*(1-DescuentoNeg)*(1-ComisionVenta*(1+TipoIVA))-Plusvalia</f>
        <v>7254.12</v>
      </c>
      <c r="D24" s="53" t="n">
        <f aca="false">D10*(1-DescuentoNeg)*(1-ComisionVenta*(1+TipoIVA))-Plusvalia</f>
        <v>9085.15</v>
      </c>
      <c r="E24" s="53" t="n">
        <f aca="false">E10*(1-DescuentoNeg)*(1-ComisionVenta*(1+TipoIVA))-Plusvalia</f>
        <v>10916.18</v>
      </c>
    </row>
    <row r="25" customFormat="false" ht="15" hidden="false" customHeight="false" outlineLevel="0" collapsed="false">
      <c r="B25" s="3" t="s">
        <v>29</v>
      </c>
      <c r="C25" s="46" t="n">
        <f aca="false">C24-C23</f>
        <v>-2862.54666666667</v>
      </c>
      <c r="D25" s="46" t="n">
        <f aca="false">D24-D23</f>
        <v>2002.99183333333</v>
      </c>
      <c r="E25" s="46" t="n">
        <f aca="false">E24-E23</f>
        <v>4682.02183333333</v>
      </c>
    </row>
    <row r="26" customFormat="false" ht="15" hidden="false" customHeight="false" outlineLevel="0" collapsed="false">
      <c r="B26" s="10" t="s">
        <v>31</v>
      </c>
      <c r="C26" s="53" t="n">
        <f aca="false">C25-MAX(0,C25)*TipoGanancia</f>
        <v>-2862.54666666667</v>
      </c>
      <c r="D26" s="53" t="n">
        <f aca="false">D25-MAX(0,D25)*TipoGanancia</f>
        <v>1622.423385</v>
      </c>
      <c r="E26" s="53" t="n">
        <f aca="false">E25-MAX(0,E25)*TipoGanancia</f>
        <v>3792.437685</v>
      </c>
    </row>
    <row r="27" customFormat="false" ht="15" hidden="false" customHeight="false" outlineLevel="0" collapsed="false">
      <c r="B27" s="3" t="s">
        <v>33</v>
      </c>
      <c r="C27" s="94" t="n">
        <f aca="false">IF(C23&gt;0,C25/C23,0)</f>
        <v>-0.282953542009885</v>
      </c>
      <c r="D27" s="94" t="n">
        <f aca="false">IF(D23&gt;0,D25/D23,0)</f>
        <v>0.282822239520255</v>
      </c>
      <c r="E27" s="94" t="n">
        <f aca="false">IF(E23&gt;0,E25/E23,0)</f>
        <v>0.751027116759336</v>
      </c>
    </row>
    <row r="28" customFormat="false" ht="15" hidden="false" customHeight="false" outlineLevel="0" collapsed="false">
      <c r="B28" s="10" t="s">
        <v>617</v>
      </c>
      <c r="C28" s="68" t="n">
        <f aca="false">IF(C21&gt;0,(1+C27)^(12/C21)-1,0)</f>
        <v>-0.248059640674792</v>
      </c>
      <c r="D28" s="68" t="n">
        <f aca="false">IF(D21&gt;0,(1+D27)^(12/D21)-1,0)</f>
        <v>0.452946826249017</v>
      </c>
      <c r="E28" s="68" t="n">
        <f aca="false">IF(E21&gt;0,(1+E27)^(12/E21)-1,0)</f>
        <v>2.83621458447616</v>
      </c>
    </row>
    <row r="29" customFormat="false" ht="15" hidden="false" customHeight="false" outlineLevel="0" collapsed="false">
      <c r="B29" s="3" t="s">
        <v>642</v>
      </c>
      <c r="C29" s="46" t="n">
        <f aca="false">MAX(0,IF(C17=1,IF((C24/(1+ROIObjetivo)-C20-C22)/(1+TipoITP)&gt;=ValorReferencia,(C24/(1+ROIObjetivo)-C20-C22)/(1+TipoITP),(C24/(1+ROIObjetivo)-C20-C22)-TipoITP*ValorReferencia),(C24/(1+ROIObjetivo)-C20-C22)/(1+TipoIVA*(1-IVADeducible))))</f>
        <v>3135.06887052342</v>
      </c>
      <c r="D29" s="46" t="n">
        <f aca="false">MAX(0,IF(D17=1,IF((D24/(1+ROIObjetivo)-D20-D22)/(1+TipoITP)&gt;=ValorReferencia,(D24/(1+ROIObjetivo)-D20-D22)/(1+TipoITP),(D24/(1+ROIObjetivo)-D20-D22)-TipoITP*ValorReferencia),(D24/(1+ROIObjetivo)-D20-D22)/(1+TipoIVA*(1-IVADeducible))))</f>
        <v>5988.80016666667</v>
      </c>
      <c r="E29" s="46" t="n">
        <f aca="false">MAX(0,IF(E17=1,IF((E24/(1+ROIObjetivo)-E20-E22)/(1+TipoITP)&gt;=ValorReferencia,(E24/(1+ROIObjetivo)-E20-E22)/(1+TipoITP),(E24/(1+ROIObjetivo)-E20-E22)-TipoITP*ValorReferencia),(E24/(1+ROIObjetivo)-E20-E22)/(1+TipoIVA*(1-IVADeducible))))</f>
        <v>7811.35514018692</v>
      </c>
    </row>
    <row r="30" customFormat="false" ht="15" hidden="false" customHeight="false" outlineLevel="0" collapsed="false">
      <c r="B30" s="6" t="s">
        <v>643</v>
      </c>
      <c r="C30" s="7"/>
      <c r="D30" s="7"/>
      <c r="E30" s="7"/>
    </row>
    <row r="31" customFormat="false" ht="15" hidden="false" customHeight="false" outlineLevel="0" collapsed="false">
      <c r="B31" s="10" t="s">
        <v>294</v>
      </c>
      <c r="C31" s="53" t="n">
        <f aca="false">(C14+(IBIAnual+SeguroAnual)/12)*MAX(0,C12+MesesPuestaAlquiler-MesDecreto)</f>
        <v>73.3333333333333</v>
      </c>
      <c r="D31" s="53" t="n">
        <f aca="false">(D14+(IBIAnual+SeguroAnual)/12)*MAX(0,D12+MesesPuestaAlquiler-MesDecreto)</f>
        <v>26.6666666666667</v>
      </c>
      <c r="E31" s="53" t="n">
        <f aca="false">(E14+(IBIAnual+SeguroAnual)/12)*MAX(0,E12+MesesPuestaAlquiler-MesDecreto)</f>
        <v>11.3333333333333</v>
      </c>
    </row>
    <row r="32" customFormat="false" ht="15" hidden="false" customHeight="false" outlineLevel="0" collapsed="false">
      <c r="B32" s="3" t="s">
        <v>530</v>
      </c>
      <c r="C32" s="46" t="n">
        <f aca="false">C8+C19+C20+C31</f>
        <v>9988.33333333333</v>
      </c>
      <c r="D32" s="46" t="n">
        <f aca="false">D8+D19+D20+D31</f>
        <v>7042.15816666667</v>
      </c>
      <c r="E32" s="46" t="n">
        <f aca="false">E8+E19+E20+E31</f>
        <v>6222.82483333333</v>
      </c>
    </row>
    <row r="33" customFormat="false" ht="15" hidden="false" customHeight="false" outlineLevel="0" collapsed="false">
      <c r="B33" s="10" t="s">
        <v>30</v>
      </c>
      <c r="C33" s="53" t="n">
        <f aca="false">C11/(1+TipoIVA*RentaInclIVA)*12*(1-Desocupacion)*(1-GestionPct-MantenimientoPct)-C14*12-IBIAnual-SeguroAnual</f>
        <v>92.9520661157025</v>
      </c>
      <c r="D33" s="53" t="n">
        <f aca="false">D11/(1+TipoIVA*RentaInclIVA)*12*(1-Desocupacion)*(1-GestionPct-MantenimientoPct)-D14*12-IBIAnual-SeguroAnual</f>
        <v>242.36694214876</v>
      </c>
      <c r="E33" s="53" t="n">
        <f aca="false">E11/(1+TipoIVA*RentaInclIVA)*12*(1-Desocupacion)*(1-GestionPct-MantenimientoPct)-E14*12-IBIAnual-SeguroAnual</f>
        <v>311.074380165289</v>
      </c>
    </row>
    <row r="34" customFormat="false" ht="15" hidden="false" customHeight="false" outlineLevel="0" collapsed="false">
      <c r="B34" s="3" t="s">
        <v>34</v>
      </c>
      <c r="C34" s="94" t="n">
        <f aca="false">IF(C32&gt;0,C33/C32,0)</f>
        <v>0.00930606368587043</v>
      </c>
      <c r="D34" s="94" t="n">
        <f aca="false">IF(D32&gt;0,D33/D32,0)</f>
        <v>0.0344165717969783</v>
      </c>
      <c r="E34" s="94" t="n">
        <f aca="false">IF(E32&gt;0,E33/E32,0)</f>
        <v>0.0499892554421556</v>
      </c>
    </row>
    <row r="35" customFormat="false" ht="15" hidden="false" customHeight="false" outlineLevel="0" collapsed="false">
      <c r="B35" s="3" t="s">
        <v>644</v>
      </c>
      <c r="C35" s="46" t="n">
        <f aca="false">MAX(0,IF(C17=1,IF((C33/RentabObjetivo-C20-C31)/(1+TipoITP)&gt;=ValorReferencia,(C33/RentabObjetivo-C20-C31)/(1+TipoITP),(C33/RentabObjetivo-C20-C31)-TipoITP*ValorReferencia),(C33/RentabObjetivo-C20-C31)/(1+TipoIVA*(1-IVADeducible))))</f>
        <v>0</v>
      </c>
      <c r="D35" s="46" t="n">
        <f aca="false">MAX(0,IF(D17=1,IF((D33/RentabObjetivo-D20-D31)/(1+TipoITP)&gt;=ValorReferencia,(D33/RentabObjetivo-D20-D31)/(1+TipoITP),(D33/RentabObjetivo-D20-D31)-TipoITP*ValorReferencia),(D33/RentabObjetivo-D20-D31)/(1+TipoIVA*(1-IVADeducible))))</f>
        <v>3305.18067630854</v>
      </c>
      <c r="E35" s="46" t="n">
        <f aca="false">MAX(0,IF(E17=1,IF((E33/RentabObjetivo-E20-E31)/(1+TipoITP)&gt;=ValorReferencia,(E33/RentabObjetivo-E20-E31)/(1+TipoITP),(E33/RentabObjetivo-E20-E31)-TipoITP*ValorReferencia),(E33/RentabObjetivo-E20-E31)/(1+TipoIVA*(1-IVADeducible))))</f>
        <v>4998.66276997245</v>
      </c>
    </row>
    <row r="37" customFormat="false" ht="15" hidden="false" customHeight="false" outlineLevel="0" collapsed="false">
      <c r="B37" s="6" t="s">
        <v>645</v>
      </c>
      <c r="C37" s="7"/>
      <c r="D37" s="7"/>
      <c r="E37" s="7"/>
    </row>
    <row r="38" customFormat="false" ht="15" hidden="false" customHeight="false" outlineLevel="0" collapsed="false">
      <c r="B38" s="24" t="s">
        <v>542</v>
      </c>
      <c r="C38" s="24" t="s">
        <v>646</v>
      </c>
      <c r="D38" s="24" t="s">
        <v>647</v>
      </c>
      <c r="E38" s="24" t="s">
        <v>648</v>
      </c>
    </row>
    <row r="39" customFormat="false" ht="15" hidden="false" customHeight="false" outlineLevel="0" collapsed="false">
      <c r="B39" s="10" t="s">
        <v>12</v>
      </c>
      <c r="C39" s="53" t="n">
        <f aca="false">TipoITP*MAX(Puja,ValorReferencia)</f>
        <v>495.4915</v>
      </c>
      <c r="D39" s="53" t="n">
        <f aca="false">TipoIVA*Puja*(1-IVADeducible)</f>
        <v>1155</v>
      </c>
      <c r="E39" s="46" t="n">
        <f aca="false">D39-C39</f>
        <v>659.5085</v>
      </c>
    </row>
    <row r="40" customFormat="false" ht="15" hidden="false" customHeight="false" outlineLevel="0" collapsed="false">
      <c r="B40" s="10" t="s">
        <v>649</v>
      </c>
      <c r="C40" s="53" t="n">
        <f aca="false">VentaNeta-(Puja+C39+CostesFijosAdq+CosteTenenciaFlip)</f>
        <v>2002.99183333333</v>
      </c>
      <c r="D40" s="53" t="n">
        <f aca="false">VentaNeta-(Puja+D39+CostesFijosAdq+CosteTenenciaFlip)</f>
        <v>1343.48333333333</v>
      </c>
      <c r="E40" s="46" t="n">
        <f aca="false">D40-C40</f>
        <v>-659.5085</v>
      </c>
    </row>
  </sheetData>
  <conditionalFormatting sqref="C6:E6">
    <cfRule type="cellIs" priority="2" operator="equal" aboveAverage="0" equalAverage="0" bottom="0" percent="0" rank="0" text="" dxfId="4">
      <formula>"◄ activo"</formula>
    </cfRule>
  </conditionalFormatting>
  <conditionalFormatting sqref="C25:E26">
    <cfRule type="cellIs" priority="3" operator="lessThan" aboveAverage="0" equalAverage="0" bottom="0" percent="0" rank="0" text="" dxfId="5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true"/>
  </sheetPr>
  <dimension ref="B2:G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62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46"/>
    <col collapsed="false" customWidth="true" hidden="false" outlineLevel="0" max="7" min="7" style="0" width="36"/>
  </cols>
  <sheetData>
    <row r="2" customFormat="false" ht="19.7" hidden="false" customHeight="false" outlineLevel="0" collapsed="false">
      <c r="B2" s="1" t="s">
        <v>650</v>
      </c>
    </row>
    <row r="3" customFormat="false" ht="15" hidden="false" customHeight="false" outlineLevel="0" collapsed="false">
      <c r="B3" s="2" t="s">
        <v>651</v>
      </c>
    </row>
    <row r="5" customFormat="false" ht="15" hidden="false" customHeight="false" outlineLevel="0" collapsed="false">
      <c r="B5" s="24" t="s">
        <v>652</v>
      </c>
      <c r="C5" s="24" t="s">
        <v>653</v>
      </c>
      <c r="D5" s="24" t="s">
        <v>654</v>
      </c>
      <c r="E5" s="24" t="s">
        <v>655</v>
      </c>
      <c r="F5" s="24" t="s">
        <v>656</v>
      </c>
      <c r="G5" s="24" t="s">
        <v>657</v>
      </c>
    </row>
    <row r="6" customFormat="false" ht="63.75" hidden="false" customHeight="true" outlineLevel="0" collapsed="false">
      <c r="B6" s="95" t="s">
        <v>658</v>
      </c>
      <c r="C6" s="96" t="s">
        <v>659</v>
      </c>
      <c r="D6" s="97" t="s">
        <v>359</v>
      </c>
      <c r="E6" s="97" t="s">
        <v>660</v>
      </c>
      <c r="F6" s="96" t="s">
        <v>661</v>
      </c>
      <c r="G6" s="96" t="s">
        <v>662</v>
      </c>
    </row>
    <row r="7" customFormat="false" ht="63.75" hidden="false" customHeight="true" outlineLevel="0" collapsed="false">
      <c r="B7" s="95" t="s">
        <v>663</v>
      </c>
      <c r="C7" s="96" t="s">
        <v>664</v>
      </c>
      <c r="D7" s="98" t="s">
        <v>665</v>
      </c>
      <c r="E7" s="98" t="s">
        <v>666</v>
      </c>
      <c r="F7" s="96" t="s">
        <v>667</v>
      </c>
      <c r="G7" s="96" t="s">
        <v>668</v>
      </c>
    </row>
    <row r="8" customFormat="false" ht="63.75" hidden="false" customHeight="true" outlineLevel="0" collapsed="false">
      <c r="B8" s="95" t="s">
        <v>669</v>
      </c>
      <c r="C8" s="96" t="s">
        <v>670</v>
      </c>
      <c r="D8" s="98" t="s">
        <v>671</v>
      </c>
      <c r="E8" s="97" t="s">
        <v>660</v>
      </c>
      <c r="F8" s="96" t="s">
        <v>672</v>
      </c>
      <c r="G8" s="96" t="s">
        <v>673</v>
      </c>
    </row>
    <row r="9" customFormat="false" ht="63.75" hidden="false" customHeight="true" outlineLevel="0" collapsed="false">
      <c r="B9" s="95" t="s">
        <v>674</v>
      </c>
      <c r="C9" s="96" t="s">
        <v>675</v>
      </c>
      <c r="D9" s="98" t="s">
        <v>671</v>
      </c>
      <c r="E9" s="99" t="s">
        <v>676</v>
      </c>
      <c r="F9" s="96" t="s">
        <v>677</v>
      </c>
      <c r="G9" s="96" t="s">
        <v>678</v>
      </c>
    </row>
    <row r="10" customFormat="false" ht="63.75" hidden="false" customHeight="true" outlineLevel="0" collapsed="false">
      <c r="B10" s="95" t="s">
        <v>679</v>
      </c>
      <c r="C10" s="96" t="s">
        <v>680</v>
      </c>
      <c r="D10" s="97" t="s">
        <v>359</v>
      </c>
      <c r="E10" s="99" t="s">
        <v>676</v>
      </c>
      <c r="F10" s="96" t="s">
        <v>681</v>
      </c>
      <c r="G10" s="96" t="s">
        <v>682</v>
      </c>
    </row>
    <row r="11" customFormat="false" ht="63.75" hidden="false" customHeight="true" outlineLevel="0" collapsed="false">
      <c r="B11" s="95" t="s">
        <v>683</v>
      </c>
      <c r="C11" s="96" t="s">
        <v>684</v>
      </c>
      <c r="D11" s="99" t="s">
        <v>685</v>
      </c>
      <c r="E11" s="97" t="s">
        <v>660</v>
      </c>
      <c r="F11" s="96" t="s">
        <v>686</v>
      </c>
      <c r="G11" s="96" t="s">
        <v>687</v>
      </c>
    </row>
    <row r="12" customFormat="false" ht="63.75" hidden="false" customHeight="true" outlineLevel="0" collapsed="false">
      <c r="B12" s="95" t="s">
        <v>688</v>
      </c>
      <c r="C12" s="96" t="s">
        <v>689</v>
      </c>
      <c r="D12" s="98" t="s">
        <v>671</v>
      </c>
      <c r="E12" s="97" t="s">
        <v>660</v>
      </c>
      <c r="F12" s="96" t="s">
        <v>690</v>
      </c>
      <c r="G12" s="96" t="s">
        <v>691</v>
      </c>
    </row>
    <row r="13" customFormat="false" ht="63.75" hidden="false" customHeight="true" outlineLevel="0" collapsed="false">
      <c r="B13" s="95" t="s">
        <v>692</v>
      </c>
      <c r="C13" s="96" t="s">
        <v>693</v>
      </c>
      <c r="D13" s="97" t="s">
        <v>359</v>
      </c>
      <c r="E13" s="97" t="s">
        <v>660</v>
      </c>
      <c r="F13" s="96" t="s">
        <v>694</v>
      </c>
      <c r="G13" s="96" t="s">
        <v>695</v>
      </c>
    </row>
    <row r="14" customFormat="false" ht="63.75" hidden="false" customHeight="true" outlineLevel="0" collapsed="false">
      <c r="B14" s="95" t="s">
        <v>696</v>
      </c>
      <c r="C14" s="96" t="s">
        <v>697</v>
      </c>
      <c r="D14" s="97" t="s">
        <v>359</v>
      </c>
      <c r="E14" s="97" t="s">
        <v>660</v>
      </c>
      <c r="F14" s="96" t="s">
        <v>698</v>
      </c>
      <c r="G14" s="96" t="s">
        <v>699</v>
      </c>
    </row>
    <row r="15" customFormat="false" ht="63.75" hidden="false" customHeight="true" outlineLevel="0" collapsed="false">
      <c r="B15" s="95" t="s">
        <v>700</v>
      </c>
      <c r="C15" s="96" t="s">
        <v>701</v>
      </c>
      <c r="D15" s="99" t="s">
        <v>685</v>
      </c>
      <c r="E15" s="99" t="s">
        <v>676</v>
      </c>
      <c r="F15" s="96" t="s">
        <v>702</v>
      </c>
      <c r="G15" s="96" t="s">
        <v>703</v>
      </c>
    </row>
    <row r="16" customFormat="false" ht="63.75" hidden="false" customHeight="true" outlineLevel="0" collapsed="false">
      <c r="B16" s="95" t="s">
        <v>704</v>
      </c>
      <c r="C16" s="96" t="s">
        <v>705</v>
      </c>
      <c r="D16" s="99" t="s">
        <v>685</v>
      </c>
      <c r="E16" s="97" t="s">
        <v>660</v>
      </c>
      <c r="F16" s="96" t="s">
        <v>706</v>
      </c>
      <c r="G16" s="96" t="s">
        <v>707</v>
      </c>
    </row>
    <row r="17" customFormat="false" ht="63.75" hidden="false" customHeight="true" outlineLevel="0" collapsed="false">
      <c r="B17" s="95" t="s">
        <v>708</v>
      </c>
      <c r="C17" s="96" t="s">
        <v>709</v>
      </c>
      <c r="D17" s="97" t="s">
        <v>359</v>
      </c>
      <c r="E17" s="99" t="s">
        <v>676</v>
      </c>
      <c r="F17" s="96" t="s">
        <v>710</v>
      </c>
      <c r="G17" s="96" t="s">
        <v>711</v>
      </c>
    </row>
    <row r="18" customFormat="false" ht="63.75" hidden="false" customHeight="true" outlineLevel="0" collapsed="false">
      <c r="B18" s="95" t="s">
        <v>712</v>
      </c>
      <c r="C18" s="96" t="s">
        <v>713</v>
      </c>
      <c r="D18" s="99" t="s">
        <v>685</v>
      </c>
      <c r="E18" s="99" t="s">
        <v>676</v>
      </c>
      <c r="F18" s="96" t="s">
        <v>714</v>
      </c>
      <c r="G18" s="96" t="s">
        <v>707</v>
      </c>
    </row>
    <row r="20" customFormat="false" ht="15" hidden="false" customHeight="false" outlineLevel="0" collapsed="false">
      <c r="B20" s="6" t="s">
        <v>715</v>
      </c>
      <c r="C20" s="7"/>
      <c r="D20" s="7"/>
      <c r="E20" s="7"/>
      <c r="F20" s="7"/>
      <c r="G20" s="7"/>
    </row>
    <row r="21" customFormat="false" ht="15" hidden="false" customHeight="false" outlineLevel="0" collapsed="false">
      <c r="B21" s="24" t="s">
        <v>716</v>
      </c>
      <c r="C21" s="24" t="s">
        <v>717</v>
      </c>
      <c r="D21" s="24" t="s">
        <v>65</v>
      </c>
      <c r="E21" s="24" t="s">
        <v>718</v>
      </c>
      <c r="F21" s="24" t="s">
        <v>524</v>
      </c>
      <c r="G21" s="24"/>
    </row>
    <row r="22" customFormat="false" ht="30" hidden="false" customHeight="true" outlineLevel="0" collapsed="false">
      <c r="B22" s="96" t="s">
        <v>719</v>
      </c>
      <c r="C22" s="96" t="s">
        <v>720</v>
      </c>
      <c r="D22" s="100" t="s">
        <v>721</v>
      </c>
      <c r="E22" s="39"/>
      <c r="F22" s="39"/>
    </row>
    <row r="23" customFormat="false" ht="30" hidden="false" customHeight="true" outlineLevel="0" collapsed="false">
      <c r="B23" s="96" t="s">
        <v>722</v>
      </c>
      <c r="C23" s="96" t="s">
        <v>723</v>
      </c>
      <c r="D23" s="100" t="s">
        <v>721</v>
      </c>
      <c r="E23" s="39"/>
      <c r="F23" s="39"/>
    </row>
    <row r="24" customFormat="false" ht="30" hidden="false" customHeight="true" outlineLevel="0" collapsed="false">
      <c r="B24" s="96" t="s">
        <v>724</v>
      </c>
      <c r="C24" s="96" t="s">
        <v>725</v>
      </c>
      <c r="D24" s="100" t="s">
        <v>721</v>
      </c>
      <c r="E24" s="39"/>
      <c r="F24" s="39"/>
    </row>
    <row r="25" customFormat="false" ht="30" hidden="false" customHeight="true" outlineLevel="0" collapsed="false">
      <c r="B25" s="96" t="s">
        <v>726</v>
      </c>
      <c r="C25" s="96" t="s">
        <v>727</v>
      </c>
      <c r="D25" s="100" t="s">
        <v>721</v>
      </c>
      <c r="E25" s="39"/>
      <c r="F25" s="39"/>
    </row>
    <row r="26" customFormat="false" ht="30" hidden="false" customHeight="true" outlineLevel="0" collapsed="false">
      <c r="B26" s="96" t="s">
        <v>728</v>
      </c>
      <c r="C26" s="96" t="s">
        <v>729</v>
      </c>
      <c r="D26" s="100" t="s">
        <v>721</v>
      </c>
      <c r="E26" s="39"/>
      <c r="F26" s="39"/>
    </row>
    <row r="27" customFormat="false" ht="30" hidden="false" customHeight="true" outlineLevel="0" collapsed="false">
      <c r="B27" s="96" t="s">
        <v>730</v>
      </c>
      <c r="C27" s="96" t="s">
        <v>731</v>
      </c>
      <c r="D27" s="100" t="s">
        <v>721</v>
      </c>
      <c r="E27" s="39"/>
      <c r="F27" s="39"/>
    </row>
    <row r="28" customFormat="false" ht="30" hidden="false" customHeight="true" outlineLevel="0" collapsed="false">
      <c r="B28" s="96" t="s">
        <v>732</v>
      </c>
      <c r="C28" s="96" t="s">
        <v>733</v>
      </c>
      <c r="D28" s="100" t="s">
        <v>721</v>
      </c>
      <c r="E28" s="39"/>
      <c r="F28" s="39"/>
    </row>
    <row r="29" customFormat="false" ht="30" hidden="false" customHeight="true" outlineLevel="0" collapsed="false">
      <c r="B29" s="96" t="s">
        <v>734</v>
      </c>
      <c r="C29" s="96" t="s">
        <v>735</v>
      </c>
      <c r="D29" s="100" t="s">
        <v>721</v>
      </c>
      <c r="E29" s="39"/>
      <c r="F29" s="39"/>
    </row>
    <row r="30" customFormat="false" ht="30" hidden="false" customHeight="true" outlineLevel="0" collapsed="false">
      <c r="B30" s="96" t="s">
        <v>736</v>
      </c>
      <c r="C30" s="96" t="s">
        <v>737</v>
      </c>
      <c r="D30" s="100" t="s">
        <v>721</v>
      </c>
      <c r="E30" s="39"/>
      <c r="F30" s="39"/>
    </row>
    <row r="32" customFormat="false" ht="15" hidden="false" customHeight="false" outlineLevel="0" collapsed="false">
      <c r="B32" s="6" t="s">
        <v>738</v>
      </c>
      <c r="C32" s="7"/>
      <c r="D32" s="7"/>
      <c r="E32" s="7"/>
      <c r="F32" s="7"/>
      <c r="G32" s="7"/>
    </row>
    <row r="33" customFormat="false" ht="30" hidden="false" customHeight="true" outlineLevel="0" collapsed="false">
      <c r="B33" s="101" t="s">
        <v>739</v>
      </c>
      <c r="C33" s="23" t="s">
        <v>740</v>
      </c>
      <c r="D33" s="23"/>
      <c r="E33" s="23"/>
      <c r="F33" s="23"/>
      <c r="G33" s="23"/>
    </row>
    <row r="34" customFormat="false" ht="30" hidden="false" customHeight="true" outlineLevel="0" collapsed="false">
      <c r="B34" s="101" t="s">
        <v>741</v>
      </c>
      <c r="C34" s="23" t="s">
        <v>742</v>
      </c>
      <c r="D34" s="23"/>
      <c r="E34" s="23"/>
      <c r="F34" s="23"/>
      <c r="G34" s="23"/>
    </row>
    <row r="35" customFormat="false" ht="30" hidden="false" customHeight="true" outlineLevel="0" collapsed="false">
      <c r="B35" s="101" t="s">
        <v>743</v>
      </c>
      <c r="C35" s="23" t="s">
        <v>744</v>
      </c>
      <c r="D35" s="23"/>
      <c r="E35" s="23"/>
      <c r="F35" s="23"/>
      <c r="G35" s="23"/>
    </row>
    <row r="36" customFormat="false" ht="43.5" hidden="false" customHeight="true" outlineLevel="0" collapsed="false">
      <c r="B36" s="101" t="s">
        <v>138</v>
      </c>
      <c r="C36" s="23" t="s">
        <v>745</v>
      </c>
      <c r="D36" s="23"/>
      <c r="E36" s="23"/>
      <c r="F36" s="23"/>
      <c r="G36" s="23"/>
    </row>
    <row r="37" customFormat="false" ht="30" hidden="false" customHeight="true" outlineLevel="0" collapsed="false">
      <c r="B37" s="101" t="s">
        <v>746</v>
      </c>
      <c r="C37" s="23" t="s">
        <v>747</v>
      </c>
      <c r="D37" s="23"/>
      <c r="E37" s="23"/>
      <c r="F37" s="23"/>
      <c r="G37" s="23"/>
    </row>
    <row r="38" customFormat="false" ht="30" hidden="false" customHeight="true" outlineLevel="0" collapsed="false">
      <c r="B38" s="101" t="s">
        <v>748</v>
      </c>
      <c r="C38" s="23" t="s">
        <v>749</v>
      </c>
      <c r="D38" s="23"/>
      <c r="E38" s="23"/>
      <c r="F38" s="23"/>
      <c r="G38" s="23"/>
    </row>
    <row r="39" customFormat="false" ht="30" hidden="false" customHeight="true" outlineLevel="0" collapsed="false">
      <c r="B39" s="101" t="s">
        <v>750</v>
      </c>
      <c r="C39" s="23" t="s">
        <v>751</v>
      </c>
      <c r="D39" s="23"/>
      <c r="E39" s="23"/>
      <c r="F39" s="23"/>
      <c r="G39" s="23"/>
    </row>
    <row r="40" customFormat="false" ht="30" hidden="false" customHeight="true" outlineLevel="0" collapsed="false">
      <c r="B40" s="101" t="s">
        <v>752</v>
      </c>
      <c r="C40" s="23" t="s">
        <v>753</v>
      </c>
      <c r="D40" s="23"/>
      <c r="E40" s="23"/>
      <c r="F40" s="23"/>
      <c r="G40" s="23"/>
    </row>
    <row r="41" customFormat="false" ht="43.5" hidden="false" customHeight="true" outlineLevel="0" collapsed="false">
      <c r="B41" s="101" t="s">
        <v>754</v>
      </c>
      <c r="C41" s="23" t="s">
        <v>755</v>
      </c>
      <c r="D41" s="23"/>
      <c r="E41" s="23"/>
      <c r="F41" s="23"/>
      <c r="G41" s="23"/>
    </row>
  </sheetData>
  <mergeCells count="9">
    <mergeCell ref="C33:G33"/>
    <mergeCell ref="C34:G34"/>
    <mergeCell ref="C35:G35"/>
    <mergeCell ref="C36:G36"/>
    <mergeCell ref="C37:G37"/>
    <mergeCell ref="C38:G38"/>
    <mergeCell ref="C39:G39"/>
    <mergeCell ref="C40:G40"/>
    <mergeCell ref="C41:G41"/>
  </mergeCells>
  <conditionalFormatting sqref="D22:D30">
    <cfRule type="cellIs" priority="2" operator="equal" aboveAverage="0" equalAverage="0" bottom="0" percent="0" rank="0" text="" dxfId="0">
      <formula>"Hecho"</formula>
    </cfRule>
    <cfRule type="cellIs" priority="3" operator="equal" aboveAverage="0" equalAverage="0" bottom="0" percent="0" rank="0" text="" dxfId="1">
      <formula>"Pendiente"</formula>
    </cfRule>
  </conditionalFormatting>
  <dataValidations count="1">
    <dataValidation allowBlank="true" errorStyle="stop" operator="between" showDropDown="false" showErrorMessage="false" showInputMessage="false" sqref="D22:D30" type="list">
      <formula1>"Pendiente,En curso,Hecho"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true"/>
  </sheetPr>
  <dimension ref="B2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55"/>
    <col collapsed="false" customWidth="true" hidden="false" outlineLevel="0" max="4" min="4" style="0" width="70"/>
  </cols>
  <sheetData>
    <row r="2" customFormat="false" ht="19.7" hidden="false" customHeight="false" outlineLevel="0" collapsed="false">
      <c r="B2" s="1" t="s">
        <v>756</v>
      </c>
    </row>
    <row r="3" customFormat="false" ht="15" hidden="false" customHeight="false" outlineLevel="0" collapsed="false">
      <c r="B3" s="2" t="s">
        <v>757</v>
      </c>
    </row>
    <row r="5" customFormat="false" ht="15" hidden="false" customHeight="false" outlineLevel="0" collapsed="false">
      <c r="B5" s="24" t="s">
        <v>64</v>
      </c>
      <c r="C5" s="24" t="s">
        <v>758</v>
      </c>
      <c r="D5" s="24" t="s">
        <v>759</v>
      </c>
    </row>
    <row r="6" customFormat="false" ht="31.5" hidden="false" customHeight="true" outlineLevel="0" collapsed="false">
      <c r="B6" s="96" t="s">
        <v>760</v>
      </c>
      <c r="C6" s="96" t="s">
        <v>761</v>
      </c>
      <c r="D6" s="96" t="s">
        <v>762</v>
      </c>
    </row>
    <row r="7" customFormat="false" ht="31.5" hidden="false" customHeight="true" outlineLevel="0" collapsed="false">
      <c r="B7" s="96" t="s">
        <v>763</v>
      </c>
      <c r="C7" s="96" t="s">
        <v>764</v>
      </c>
      <c r="D7" s="96" t="s">
        <v>765</v>
      </c>
    </row>
    <row r="8" customFormat="false" ht="31.5" hidden="false" customHeight="true" outlineLevel="0" collapsed="false">
      <c r="B8" s="96" t="s">
        <v>766</v>
      </c>
      <c r="C8" s="96" t="s">
        <v>767</v>
      </c>
      <c r="D8" s="96" t="s">
        <v>768</v>
      </c>
    </row>
    <row r="9" customFormat="false" ht="31.5" hidden="false" customHeight="true" outlineLevel="0" collapsed="false">
      <c r="B9" s="96" t="s">
        <v>769</v>
      </c>
      <c r="C9" s="96" t="s">
        <v>770</v>
      </c>
      <c r="D9" s="96" t="s">
        <v>771</v>
      </c>
    </row>
    <row r="10" customFormat="false" ht="31.5" hidden="false" customHeight="true" outlineLevel="0" collapsed="false">
      <c r="B10" s="96" t="s">
        <v>69</v>
      </c>
      <c r="C10" s="96" t="s">
        <v>772</v>
      </c>
      <c r="D10" s="102" t="s">
        <v>773</v>
      </c>
    </row>
    <row r="11" customFormat="false" ht="31.5" hidden="false" customHeight="true" outlineLevel="0" collapsed="false">
      <c r="B11" s="96" t="s">
        <v>774</v>
      </c>
      <c r="C11" s="96" t="s">
        <v>775</v>
      </c>
      <c r="D11" s="102" t="s">
        <v>776</v>
      </c>
    </row>
    <row r="12" customFormat="false" ht="31.5" hidden="false" customHeight="true" outlineLevel="0" collapsed="false">
      <c r="B12" s="96" t="s">
        <v>777</v>
      </c>
      <c r="C12" s="96" t="s">
        <v>778</v>
      </c>
      <c r="D12" s="102" t="s">
        <v>779</v>
      </c>
    </row>
    <row r="13" customFormat="false" ht="31.5" hidden="false" customHeight="true" outlineLevel="0" collapsed="false">
      <c r="B13" s="96" t="s">
        <v>780</v>
      </c>
      <c r="C13" s="96" t="s">
        <v>781</v>
      </c>
      <c r="D13" s="102" t="s">
        <v>782</v>
      </c>
    </row>
    <row r="14" customFormat="false" ht="31.5" hidden="false" customHeight="true" outlineLevel="0" collapsed="false">
      <c r="B14" s="96" t="s">
        <v>783</v>
      </c>
      <c r="C14" s="96" t="s">
        <v>784</v>
      </c>
      <c r="D14" s="102" t="s">
        <v>785</v>
      </c>
    </row>
    <row r="15" customFormat="false" ht="31.5" hidden="false" customHeight="true" outlineLevel="0" collapsed="false">
      <c r="B15" s="96" t="s">
        <v>786</v>
      </c>
      <c r="C15" s="96" t="s">
        <v>787</v>
      </c>
      <c r="D15" s="102" t="s">
        <v>788</v>
      </c>
    </row>
    <row r="16" customFormat="false" ht="31.5" hidden="false" customHeight="true" outlineLevel="0" collapsed="false">
      <c r="B16" s="96" t="s">
        <v>789</v>
      </c>
      <c r="C16" s="96" t="s">
        <v>790</v>
      </c>
      <c r="D16" s="102" t="s">
        <v>791</v>
      </c>
    </row>
    <row r="17" customFormat="false" ht="31.5" hidden="false" customHeight="true" outlineLevel="0" collapsed="false">
      <c r="B17" s="96" t="s">
        <v>792</v>
      </c>
      <c r="C17" s="96" t="s">
        <v>793</v>
      </c>
      <c r="D17" s="102" t="s">
        <v>794</v>
      </c>
    </row>
    <row r="19" customFormat="false" ht="39.75" hidden="false" customHeight="true" outlineLevel="0" collapsed="false">
      <c r="B19" s="69" t="s">
        <v>795</v>
      </c>
      <c r="C19" s="69"/>
      <c r="D19" s="69"/>
    </row>
  </sheetData>
  <mergeCells count="1">
    <mergeCell ref="B19:D19"/>
  </mergeCells>
  <hyperlinks>
    <hyperlink ref="D10" r:id="rId1" display="https://subastas.boe.es/detalleSubasta.php?idSub=SUB-JA-2026-265709"/>
    <hyperlink ref="D11" r:id="rId2" display="https://www.idealista.com/venta-garajes/sevilla-sevilla/con-moto/"/>
    <hyperlink ref="D12" r:id="rId3" display="https://realadvisor.es/es/precios-viviendas/41010-sevilla/calle-virtud"/>
    <hyperlink ref="D13" r:id="rId4" display="https://www.boe.es/buscar/act.php?id=BOE-A-2000-323"/>
    <hyperlink ref="D14" r:id="rId5" display="https://www.boe.es/buscar/act.php?id=BOE-A-1960-10906"/>
    <hyperlink ref="D15" r:id="rId6" display="https://www.poderjudicial.es/cgpj/es/Poder-Judicial/Tribunales-Superiores-de-Justicia/TSJ-Galicia/Noticias-Judiciales-TSJ-Galicia/El-TSXG-ratifica-que-el-valor-de-referencia-de-los-inmuebles-prevalece-sobre-el-de-adquisicion-en-subastas-para-el-calculo-de-la-base-imponible-del-Impuesto-sobre-Transmisiones-Patrimoniales-"/>
    <hyperlink ref="D16" r:id="rId7" display="https://taxdown.es/informacion-impuestos/itp-andalucia"/>
    <hyperlink ref="D17" r:id="rId8" display="https://www.informa.es/directorio-empresas/Empresa_SUPERCHINDO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2026-10-13T18:58:40Z</dcterms:created>
  <dc:creator>Sem2a</dc:creator>
  <dc:description/>
  <dc:language>en-US</dc:language>
  <cp:lastModifiedBy/>
  <dcterms:modified xsi:type="dcterms:W3CDTF">2026-10-13T18:58:42Z</dcterms:modified>
  <cp:revision>1</cp:revision>
  <dc:subject>Subasta judicial — plaza de aparcamiento (moto), C/ Virtud 38 – C/ Constancia 71, Sevilla</dc:subject>
  <dc:title>Modelo financiero SUB-JA-2026-265709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